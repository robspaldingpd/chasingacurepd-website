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 Tracker" sheetId="2" state="visible" r:id="rId4"/>
    <sheet name="Founder-Only Decisions" sheetId="3" state="visible" r:id="rId5"/>
    <sheet name="Delegate Now" sheetId="4" state="visible" r:id="rId6"/>
    <sheet name="Vendor-Own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<sst xmlns="http://schemas.openxmlformats.org/spreadsheetml/2006/main" count="1052" uniqueCount="415">
  <si>
    <t xml:space="preserve">Concert for a Cure 2026 — Execution Dashboard</t>
  </si>
  <si>
    <t xml:space="preserve">Live view: pulls from Weekly Tracker tab</t>
  </si>
  <si>
    <t xml:space="preserve">Status Snapshot</t>
  </si>
  <si>
    <t xml:space="preserve">Total tasks</t>
  </si>
  <si>
    <t xml:space="preserve">Done</t>
  </si>
  <si>
    <t xml:space="preserve">In Progress</t>
  </si>
  <si>
    <t xml:space="preserve">Blocked</t>
  </si>
  <si>
    <t xml:space="preserve">Not Started</t>
  </si>
  <si>
    <t xml:space="preserve">% Complete</t>
  </si>
  <si>
    <t xml:space="preserve">Founder review items open</t>
  </si>
  <si>
    <t xml:space="preserve">Workstream Breakdown</t>
  </si>
  <si>
    <t xml:space="preserve">Workstream</t>
  </si>
  <si>
    <t xml:space="preserve">Total</t>
  </si>
  <si>
    <t xml:space="preserve">Leadership</t>
  </si>
  <si>
    <t xml:space="preserve">Fundraising</t>
  </si>
  <si>
    <t xml:space="preserve">Auction</t>
  </si>
  <si>
    <t xml:space="preserve">Food &amp; Beverage</t>
  </si>
  <si>
    <t xml:space="preserve">Entertainment</t>
  </si>
  <si>
    <t xml:space="preserve">Tribute</t>
  </si>
  <si>
    <t xml:space="preserve">Sponsors</t>
  </si>
  <si>
    <t xml:space="preserve">Guest Experience</t>
  </si>
  <si>
    <t xml:space="preserve">Venue</t>
  </si>
  <si>
    <t xml:space="preserve">Photography</t>
  </si>
  <si>
    <t xml:space="preserve">Volunteer Ops</t>
  </si>
  <si>
    <t xml:space="preserve">MJFF / Kiera</t>
  </si>
  <si>
    <t xml:space="preserve">Rentals</t>
  </si>
  <si>
    <t xml:space="preserve">Run of Show</t>
  </si>
  <si>
    <t xml:space="preserve">Setup</t>
  </si>
  <si>
    <t xml:space="preserve">Execution</t>
  </si>
  <si>
    <t xml:space="preserve">Logistics</t>
  </si>
  <si>
    <t xml:space="preserve">Stewardship</t>
  </si>
  <si>
    <t xml:space="preserve">Financials</t>
  </si>
  <si>
    <t xml:space="preserve">Retrospective</t>
  </si>
  <si>
    <t xml:space="preserve">Concert for a Cure 2026 — Weekly Execution Tracker</t>
  </si>
  <si>
    <t xml:space="preserve">Event: Saturday, July 18, 2026  •  2:00–6:00 PM ET  •  Lakeside Home  •  100 guests</t>
  </si>
  <si>
    <t xml:space="preserve">Week / Target Date</t>
  </si>
  <si>
    <t xml:space="preserve">Task</t>
  </si>
  <si>
    <t xml:space="preserve">Owner</t>
  </si>
  <si>
    <t xml:space="preserve">Support Person</t>
  </si>
  <si>
    <t xml:space="preserve">Deadline</t>
  </si>
  <si>
    <t xml:space="preserve">Dependency</t>
  </si>
  <si>
    <t xml:space="preserve">Status</t>
  </si>
  <si>
    <t xml:space="preserve">Founder Review Needed?</t>
  </si>
  <si>
    <t xml:space="preserve">Notes</t>
  </si>
  <si>
    <t xml:space="preserve">T-13 / Apr 20–26</t>
  </si>
  <si>
    <t xml:space="preserve">Lock Master Operating Plan v2 as single source of truth; distribute to all leads</t>
  </si>
  <si>
    <t xml:space="preserve">Wendy</t>
  </si>
  <si>
    <t xml:space="preserve">—</t>
  </si>
  <si>
    <t xml:space="preserve">Apr 24</t>
  </si>
  <si>
    <t xml:space="preserve">Yes</t>
  </si>
  <si>
    <t xml:space="preserve">This tracker + v2 plan replaces prior versions</t>
  </si>
  <si>
    <t xml:space="preserve">Schedule 30-min kickoff call with each of 5 leads (Hospitality, Volunteer Ops, Fundraising, Tribute, Sponsor)</t>
  </si>
  <si>
    <t xml:space="preserve">Apr 26</t>
  </si>
  <si>
    <t xml:space="preserve">Plan distributed</t>
  </si>
  <si>
    <t xml:space="preserve">Walk them through their one-page brief</t>
  </si>
  <si>
    <t xml:space="preserve">Call Dan Abbott at Indy Boat Co — confirm boat lot, delivery timing, Rafflebox plan, speakerphone reveal moment</t>
  </si>
  <si>
    <t xml:space="preserve">Wendy + Rob</t>
  </si>
  <si>
    <t xml:space="preserve">Founder-only relationship; no delegation</t>
  </si>
  <si>
    <t xml:space="preserve">Open Rafflebox account; configure boat raffle + 50/50 with Indiana charitable-gaming compliance</t>
  </si>
  <si>
    <t xml:space="preserve">Rafflebox support</t>
  </si>
  <si>
    <t xml:space="preserve">Apr 30</t>
  </si>
  <si>
    <t xml:space="preserve">Boat lot confirmed with Dan</t>
  </si>
  <si>
    <t xml:space="preserve">Ticket price, cap, draw date/time, T&amp;Cs</t>
  </si>
  <si>
    <t xml:space="preserve">Shortlist 3 caterers; send RFP (heavy passed apps + 1 chef action station, lakeside, summer)</t>
  </si>
  <si>
    <t xml:space="preserve">Hospitality Lead (advisory)</t>
  </si>
  <si>
    <t xml:space="preserve">Wendy picks final; lead only advises on spec</t>
  </si>
  <si>
    <t xml:space="preserve">Shortlist 3 bands (pop / modern country trio or quartet); request demo reels + 18 July 18 quotes</t>
  </si>
  <si>
    <t xml:space="preserve">Not a bar band; elevated lakeside energy</t>
  </si>
  <si>
    <t xml:space="preserve">Design brief to Sallie Lord for Butterfly Wall — scale, palette, materials, placement in program zone</t>
  </si>
  <si>
    <t xml:space="preserve">Tribute Lead</t>
  </si>
  <si>
    <t xml:space="preserve">Architectural, not craft; photo-worthy</t>
  </si>
  <si>
    <t xml:space="preserve">T-12 / Apr 27–May 3</t>
  </si>
  <si>
    <t xml:space="preserve">Launch boat raffle public sales (Rafflebox link in newsletter, socials, Wendy's network)</t>
  </si>
  <si>
    <t xml:space="preserve">Comms partner</t>
  </si>
  <si>
    <t xml:space="preserve">May 1</t>
  </si>
  <si>
    <t xml:space="preserve">Rafflebox configured</t>
  </si>
  <si>
    <t xml:space="preserve">Pre-sell is the game; night-of is a bonus</t>
  </si>
  <si>
    <t xml:space="preserve">Launch 50/50 pre-sales on Rafflebox (or staged opening if state requires)</t>
  </si>
  <si>
    <t xml:space="preserve">Confirm IN charitable gaming compliance</t>
  </si>
  <si>
    <t xml:space="preserve">Collect caterer bids; taste session bookings if needed</t>
  </si>
  <si>
    <t xml:space="preserve">Hospitality Lead</t>
  </si>
  <si>
    <t xml:space="preserve">May 2</t>
  </si>
  <si>
    <t xml:space="preserve">RFPs sent</t>
  </si>
  <si>
    <t xml:space="preserve">Review demos; pick band; send contract</t>
  </si>
  <si>
    <t xml:space="preserve">May 3</t>
  </si>
  <si>
    <t xml:space="preserve">Demos received</t>
  </si>
  <si>
    <t xml:space="preserve">$750 deposit typical</t>
  </si>
  <si>
    <t xml:space="preserve">Sallie Lord design concepts reviewed; pick direction</t>
  </si>
  <si>
    <t xml:space="preserve">Design brief sent</t>
  </si>
  <si>
    <t xml:space="preserve">Finalize sponsor tiers: Title, Premium, Community — list target sponsors, dollar values, moments</t>
  </si>
  <si>
    <t xml:space="preserve">Sponsor Lead</t>
  </si>
  <si>
    <t xml:space="preserve">Plan v2 read</t>
  </si>
  <si>
    <t xml:space="preserve">Moments not logos</t>
  </si>
  <si>
    <t xml:space="preserve">T-11 / May 4–10</t>
  </si>
  <si>
    <t xml:space="preserve">Select caterer; sign contract; lock headcount at 100 + 10% buffer</t>
  </si>
  <si>
    <t xml:space="preserve">May 8</t>
  </si>
  <si>
    <t xml:space="preserve">Bids in</t>
  </si>
  <si>
    <t xml:space="preserve">Wendy signs</t>
  </si>
  <si>
    <t xml:space="preserve">Beverage order: 42 bottles Veuve Clicquot Yellow Label, 2 cases backup prosecco</t>
  </si>
  <si>
    <t xml:space="preserve">Veuve for welcome + toast only</t>
  </si>
  <si>
    <t xml:space="preserve">Beverage order: premium wines (3 cs white, 2 cs rosé, 2 cs red), premium spirits, beer, NA line</t>
  </si>
  <si>
    <t xml:space="preserve">See Plan §9 beverage spec</t>
  </si>
  <si>
    <t xml:space="preserve">Band contract signed + deposit paid; set times locked (see ROS)</t>
  </si>
  <si>
    <t xml:space="preserve">Band chosen</t>
  </si>
  <si>
    <t xml:space="preserve">Sallie Lord — greenlight materials + begin sourcing/fabrication</t>
  </si>
  <si>
    <t xml:space="preserve">May 10</t>
  </si>
  <si>
    <t xml:space="preserve">Concept selected</t>
  </si>
  <si>
    <t xml:space="preserve">Send tailored sponsor decks to top prospects</t>
  </si>
  <si>
    <t xml:space="preserve">Tiers locked</t>
  </si>
  <si>
    <t xml:space="preserve">No</t>
  </si>
  <si>
    <t xml:space="preserve">Wendy closes big ones</t>
  </si>
  <si>
    <t xml:space="preserve">Secure auctioneer for live auction lot + paddle raise (professional, nonprofit experience)</t>
  </si>
  <si>
    <t xml:space="preserve">T-10 / May 11–17</t>
  </si>
  <si>
    <t xml:space="preserve">Confirm single live auction lot: Lakeside Weekend — lock dates, amenities, photo package</t>
  </si>
  <si>
    <t xml:space="preserve">May 15</t>
  </si>
  <si>
    <t xml:space="preserve">Cut to 1 lot; fewer/better</t>
  </si>
  <si>
    <t xml:space="preserve">Rafflebox pre-sale push #1: MJFF-aligned donor list email + social carousel</t>
  </si>
  <si>
    <t xml:space="preserve">Raffle live</t>
  </si>
  <si>
    <t xml:space="preserve">Send Save-the-Dates if not already sent; confirm guest list at 100</t>
  </si>
  <si>
    <t xml:space="preserve">Tent rental booked (confirm pool deck tent + backyard program tent); lighting spec sent</t>
  </si>
  <si>
    <t xml:space="preserve">May 17</t>
  </si>
  <si>
    <t xml:space="preserve">Weather backup baked in</t>
  </si>
  <si>
    <t xml:space="preserve">Hire photographer + videographer (half-day each); share 12 must-capture moments list</t>
  </si>
  <si>
    <t xml:space="preserve">No one hired yet</t>
  </si>
  <si>
    <t xml:space="preserve">T-9 / May 18–24</t>
  </si>
  <si>
    <t xml:space="preserve">Close 2 of 3 Title-level sponsors</t>
  </si>
  <si>
    <t xml:space="preserve">May 24</t>
  </si>
  <si>
    <t xml:space="preserve">Decks sent</t>
  </si>
  <si>
    <t xml:space="preserve">Close Premium tier sponsors (bar, tent, print)</t>
  </si>
  <si>
    <t xml:space="preserve">Tables, chairs, linen, glassware, bar build-out order placed</t>
  </si>
  <si>
    <t xml:space="preserve">May 22</t>
  </si>
  <si>
    <t xml:space="preserve">Caterer signed</t>
  </si>
  <si>
    <t xml:space="preserve">Linen palette per Plan</t>
  </si>
  <si>
    <t xml:space="preserve">Check-in envelope design (name card + We Connect card + butterfly tag + program) — send to print</t>
  </si>
  <si>
    <t xml:space="preserve">Wendy approves final proof</t>
  </si>
  <si>
    <t xml:space="preserve">Confirm Kiera travel, arrival time, speaking slot (4:05, 7 min), AV needs</t>
  </si>
  <si>
    <t xml:space="preserve">Most important external speaker</t>
  </si>
  <si>
    <t xml:space="preserve">T-8 / May 25–31</t>
  </si>
  <si>
    <t xml:space="preserve">Raffle push #2: Dan + boat photo hero content; video w/ Dan's story</t>
  </si>
  <si>
    <t xml:space="preserve">May 31</t>
  </si>
  <si>
    <t xml:space="preserve">Pre-sale #1 live</t>
  </si>
  <si>
    <t xml:space="preserve">RSVPs close-in tracking; chase non-responders personally</t>
  </si>
  <si>
    <t xml:space="preserve">Invites sent</t>
  </si>
  <si>
    <t xml:space="preserve">Collect sponsor logos + bios for printed program + signage</t>
  </si>
  <si>
    <t xml:space="preserve">Sponsors closed</t>
  </si>
  <si>
    <t xml:space="preserve">Recruit 4 volunteers (Floor Captain, Check-In, Butterfly, Raffle); send briefs</t>
  </si>
  <si>
    <t xml:space="preserve">Volunteer Ops Lead</t>
  </si>
  <si>
    <t xml:space="preserve">Only 4 total</t>
  </si>
  <si>
    <t xml:space="preserve">Photographer + videographer walk-through of property (shot list + lighting windows)</t>
  </si>
  <si>
    <t xml:space="preserve">Team hired</t>
  </si>
  <si>
    <t xml:space="preserve">T-7 / Jun 1–7</t>
  </si>
  <si>
    <t xml:space="preserve">Live auction lot collateral finalized (photo card, bid card, auctioneer script)</t>
  </si>
  <si>
    <t xml:space="preserve">Fundraising Lead</t>
  </si>
  <si>
    <t xml:space="preserve">Jun 5</t>
  </si>
  <si>
    <t xml:space="preserve">Lot confirmed</t>
  </si>
  <si>
    <t xml:space="preserve">Paddle raise script drafted (emotional build → ask → release); Wendy review</t>
  </si>
  <si>
    <t xml:space="preserve">See ROS 4:12–4:38</t>
  </si>
  <si>
    <t xml:space="preserve">Sue tribute moments drafted (toast language, Veuve cue, Sallie Lord wall signage copy)</t>
  </si>
  <si>
    <t xml:space="preserve">Jun 7</t>
  </si>
  <si>
    <t xml:space="preserve">Warm and elegant, not heavy</t>
  </si>
  <si>
    <t xml:space="preserve">Sponsor signage proofs reviewed + sent to print</t>
  </si>
  <si>
    <t xml:space="preserve">Logos in</t>
  </si>
  <si>
    <t xml:space="preserve">Parking + valet plan confirmed (lane flow, overflow, signage)</t>
  </si>
  <si>
    <t xml:space="preserve">T-6 / Jun 8–14</t>
  </si>
  <si>
    <t xml:space="preserve">Raffle push #3: 50/50 tease + raffle reminder (last 40 days)</t>
  </si>
  <si>
    <t xml:space="preserve">Jun 12</t>
  </si>
  <si>
    <t xml:space="preserve">Band setlist review (Sue toast transition song included); load-in logistics confirmed</t>
  </si>
  <si>
    <t xml:space="preserve">Jun 14</t>
  </si>
  <si>
    <t xml:space="preserve">Band booked</t>
  </si>
  <si>
    <t xml:space="preserve">Butterfly Wall fabrication check-in with Sallie Lord — on track?</t>
  </si>
  <si>
    <t xml:space="preserve">Volunteer kickoff call (all 4) — briefs walked through, Q&amp;A, shirts sized</t>
  </si>
  <si>
    <t xml:space="preserve">Recruited</t>
  </si>
  <si>
    <t xml:space="preserve">T-5 / Jun 15–21</t>
  </si>
  <si>
    <t xml:space="preserve">Draft v2 ROS converted to minute-by-minute call sheet for day-of team</t>
  </si>
  <si>
    <t xml:space="preserve">Jun 21</t>
  </si>
  <si>
    <t xml:space="preserve">Paddle raise ask ladder locked ($5K / $2.5K / $1K / $500 / $250 / $100)</t>
  </si>
  <si>
    <t xml:space="preserve">Script drafted</t>
  </si>
  <si>
    <t xml:space="preserve">Send Kiera: ROS, her slot details, tone guidance, Wendy intro she'll hear</t>
  </si>
  <si>
    <t xml:space="preserve">Sponsor confirmation packets sent (event details, arrival, where to find their moment)</t>
  </si>
  <si>
    <t xml:space="preserve">T-4 / Jun 22–28</t>
  </si>
  <si>
    <t xml:space="preserve">Final RSVP confirmation; share arrival instructions + parking map</t>
  </si>
  <si>
    <t xml:space="preserve">Jun 28</t>
  </si>
  <si>
    <t xml:space="preserve">RSVPs in</t>
  </si>
  <si>
    <t xml:space="preserve">Final headcount to caterer; menu locked; dietary notes</t>
  </si>
  <si>
    <t xml:space="preserve">Envelopes + name cards printed; butterfly tags assembled (Tribute Lead + volunteer)</t>
  </si>
  <si>
    <t xml:space="preserve">Butterfly volunteer</t>
  </si>
  <si>
    <t xml:space="preserve">Print back</t>
  </si>
  <si>
    <t xml:space="preserve">Final shot list review with photog/videog; confirm Kiera &amp; Wendy portraits</t>
  </si>
  <si>
    <t xml:space="preserve">T-3 / Jun 29–Jul 5</t>
  </si>
  <si>
    <t xml:space="preserve">Raffle push #4: two-week countdown (Wendy personal message video)</t>
  </si>
  <si>
    <t xml:space="preserve">Jul 3</t>
  </si>
  <si>
    <t xml:space="preserve">ROS tabletop walk-through with all 5 leads (verbal rehearsal, cues, handoffs)</t>
  </si>
  <si>
    <t xml:space="preserve">All leads</t>
  </si>
  <si>
    <t xml:space="preserve">Jul 5</t>
  </si>
  <si>
    <t xml:space="preserve">ROS v2 drafted</t>
  </si>
  <si>
    <t xml:space="preserve">Sponsor moment placements walked with Sponsor Lead on property</t>
  </si>
  <si>
    <t xml:space="preserve">Signage back</t>
  </si>
  <si>
    <t xml:space="preserve">Sound check plan with band: zones (deck + basement + backyard), silence cue for 3:59 toast</t>
  </si>
  <si>
    <t xml:space="preserve">Band</t>
  </si>
  <si>
    <t xml:space="preserve">T-2 / Jul 6–12</t>
  </si>
  <si>
    <t xml:space="preserve">Butterfly Wall install rehearsal — Sallie Lord walk-through at property</t>
  </si>
  <si>
    <t xml:space="preserve">Tribute Lead + Sallie</t>
  </si>
  <si>
    <t xml:space="preserve">Jul 11</t>
  </si>
  <si>
    <t xml:space="preserve">Fabrication done</t>
  </si>
  <si>
    <t xml:space="preserve">Volunteer on-site walkthrough (positions, radios, breaks, uniforms)</t>
  </si>
  <si>
    <t xml:space="preserve">Jul 12</t>
  </si>
  <si>
    <t xml:space="preserve">Final raffle push + last-chance 50/50 reminder; reminder: on-site sales close 4:00 PM</t>
  </si>
  <si>
    <t xml:space="preserve">Printed ROS call sheets + radio channel plan distributed to leads &amp; vendors</t>
  </si>
  <si>
    <t xml:space="preserve">ROS locked</t>
  </si>
  <si>
    <t xml:space="preserve">T-1 / Jul 13–17</t>
  </si>
  <si>
    <t xml:space="preserve">Vendor load-in schedule confirmed (caterer, rentals, band, florist, photog)</t>
  </si>
  <si>
    <t xml:space="preserve">Jul 15</t>
  </si>
  <si>
    <t xml:space="preserve">Butterfly Wall installed Friday afternoon (Jul 17)</t>
  </si>
  <si>
    <t xml:space="preserve">Sallie Lord</t>
  </si>
  <si>
    <t xml:space="preserve">Wendy + Tribute Lead</t>
  </si>
  <si>
    <t xml:space="preserve">Jul 17</t>
  </si>
  <si>
    <t xml:space="preserve">Property ready</t>
  </si>
  <si>
    <t xml:space="preserve">Tent raised Friday Jul 17; lighting + bar build started</t>
  </si>
  <si>
    <t xml:space="preserve">Vendors scheduled</t>
  </si>
  <si>
    <t xml:space="preserve">Live auction lot certificate printed + frame ready for reveal moment</t>
  </si>
  <si>
    <t xml:space="preserve">Lot locked</t>
  </si>
  <si>
    <t xml:space="preserve">Wendy day-before rest &amp; reset; early dinner with Rob; light pre-game</t>
  </si>
  <si>
    <t xml:space="preserve">Founder fuel</t>
  </si>
  <si>
    <t xml:space="preserve">Event Day / Jul 18</t>
  </si>
  <si>
    <t xml:space="preserve">12:00 PM — All-hands load-in start (caterer, band, florist, rentals finalize)</t>
  </si>
  <si>
    <t xml:space="preserve">Jul 18 12:00</t>
  </si>
  <si>
    <t xml:space="preserve">1:00 PM — Volunteer arrival; uniforms on; brief walk-through</t>
  </si>
  <si>
    <t xml:space="preserve">Jul 18 13:00</t>
  </si>
  <si>
    <t xml:space="preserve">Load-in on track</t>
  </si>
  <si>
    <t xml:space="preserve">1:30 PM — Sound check complete; all zones tested; silence cue rehearsed</t>
  </si>
  <si>
    <t xml:space="preserve">Jul 18 13:30</t>
  </si>
  <si>
    <t xml:space="preserve">Setup complete</t>
  </si>
  <si>
    <t xml:space="preserve">1:45 PM — Veuve chilled &amp; staged for welcome pour at arrival station</t>
  </si>
  <si>
    <t xml:space="preserve">Jul 18 13:45</t>
  </si>
  <si>
    <t xml:space="preserve">2:00 PM — Doors open; guests arrive; welcome pour live</t>
  </si>
  <si>
    <t xml:space="preserve">Jul 18 14:00</t>
  </si>
  <si>
    <t xml:space="preserve">All setup done</t>
  </si>
  <si>
    <t xml:space="preserve">Showtime</t>
  </si>
  <si>
    <t xml:space="preserve">4:00 PM — Sue Toast moment (Veuve flutes distributed, music silenced)</t>
  </si>
  <si>
    <t xml:space="preserve">Band, Hospitality</t>
  </si>
  <si>
    <t xml:space="preserve">Jul 18 16:00</t>
  </si>
  <si>
    <t xml:space="preserve">Program zone set</t>
  </si>
  <si>
    <t xml:space="preserve">Sacred moment</t>
  </si>
  <si>
    <t xml:space="preserve">4:05 PM — Kiera (MJFF) speaks, 7 min</t>
  </si>
  <si>
    <t xml:space="preserve">Jul 18 16:05</t>
  </si>
  <si>
    <t xml:space="preserve">Sue toast done</t>
  </si>
  <si>
    <t xml:space="preserve">4:12 PM — Paddle raise (26 min)</t>
  </si>
  <si>
    <t xml:space="preserve">Auctioneer</t>
  </si>
  <si>
    <t xml:space="preserve">Jul 18 16:12</t>
  </si>
  <si>
    <t xml:space="preserve">Kiera done</t>
  </si>
  <si>
    <t xml:space="preserve">4:40 PM — Live auction: Lakeside Weekend (15 min)</t>
  </si>
  <si>
    <t xml:space="preserve">Jul 18 16:40</t>
  </si>
  <si>
    <t xml:space="preserve">Paddle raise done</t>
  </si>
  <si>
    <t xml:space="preserve">4:48 PM — Boat raffle reveal (Dan + speakerphone theater, 12 min)</t>
  </si>
  <si>
    <t xml:space="preserve">Wendy + Rob + Dan</t>
  </si>
  <si>
    <t xml:space="preserve">Jul 18 16:48</t>
  </si>
  <si>
    <t xml:space="preserve">Auction done</t>
  </si>
  <si>
    <t xml:space="preserve">Signature moment</t>
  </si>
  <si>
    <t xml:space="preserve">5:02 PM — 50/50 reveal (1 min)</t>
  </si>
  <si>
    <t xml:space="preserve">Rob</t>
  </si>
  <si>
    <t xml:space="preserve">Jul 18 17:02</t>
  </si>
  <si>
    <t xml:space="preserve">Raffle done</t>
  </si>
  <si>
    <t xml:space="preserve">5:05 PM — Band resumes; bar shifts to deck + backyard; dance floor opens</t>
  </si>
  <si>
    <t xml:space="preserve">Jul 18 17:05</t>
  </si>
  <si>
    <t xml:space="preserve">Program done</t>
  </si>
  <si>
    <t xml:space="preserve">6:00 PM — Send-off: final song, butterfly wall photos, thank-you moment</t>
  </si>
  <si>
    <t xml:space="preserve">Jul 18 18:00</t>
  </si>
  <si>
    <t xml:space="preserve">6:00–7:00 PM — Vendor teardown; volunteer sweep; leftovers managed</t>
  </si>
  <si>
    <t xml:space="preserve">Volunteers</t>
  </si>
  <si>
    <t xml:space="preserve">Jul 18 19:00</t>
  </si>
  <si>
    <t xml:space="preserve">Guests depart</t>
  </si>
  <si>
    <t xml:space="preserve">8:00 PM — Wendy sends thank-you text blast to top donors</t>
  </si>
  <si>
    <t xml:space="preserve">Jul 18 20:00</t>
  </si>
  <si>
    <t xml:space="preserve">Event closed</t>
  </si>
  <si>
    <t xml:space="preserve">Post-Event / Jul 19–26</t>
  </si>
  <si>
    <t xml:space="preserve">Personal thank-you notes to top 25 donors + all sponsors</t>
  </si>
  <si>
    <t xml:space="preserve">Jul 26</t>
  </si>
  <si>
    <t xml:space="preserve">Event done</t>
  </si>
  <si>
    <t xml:space="preserve">Photographer &amp; videographer deliverables received + reviewed</t>
  </si>
  <si>
    <t xml:space="preserve">Impact recap email to full guest list (photos, amount raised, gratitude)</t>
  </si>
  <si>
    <t xml:space="preserve">Final total</t>
  </si>
  <si>
    <t xml:space="preserve">Reconcile raffle, 50/50, paddle raise, auction, sponsor payments; transfer to MJFF</t>
  </si>
  <si>
    <t xml:space="preserve">Jul 31</t>
  </si>
  <si>
    <t xml:space="preserve">All pledges in</t>
  </si>
  <si>
    <t xml:space="preserve">Debrief call with 5 leads: what worked, what to keep, what to change for 2027</t>
  </si>
  <si>
    <t xml:space="preserve">Aug 7</t>
  </si>
  <si>
    <t xml:space="preserve">Founder-Only Decisions — Wendy Owns These</t>
  </si>
  <si>
    <t xml:space="preserve">Decisions that cannot be delegated — tone, money, relationships, Sue's memory</t>
  </si>
  <si>
    <t xml:space="preserve">Decision</t>
  </si>
  <si>
    <t xml:space="preserve">Why Founder-Only</t>
  </si>
  <si>
    <t xml:space="preserve">Target Date</t>
  </si>
  <si>
    <t xml:space="preserve">Caterer selection</t>
  </si>
  <si>
    <t xml:space="preserve">Food is the guest-experience backbone; Wendy's taste, Sue's legacy</t>
  </si>
  <si>
    <t xml:space="preserve">Hospitality Lead advises only</t>
  </si>
  <si>
    <t xml:space="preserve">Band selection</t>
  </si>
  <si>
    <t xml:space="preserve">Tone of entire event — pop/modern country, not bar band</t>
  </si>
  <si>
    <t xml:space="preserve">Boat raffle partnership w/ Dan Abbott</t>
  </si>
  <si>
    <t xml:space="preserve">Personal relationship + Rob's; Indy Boat Co is the marquee lot</t>
  </si>
  <si>
    <t xml:space="preserve">Apr 24 (kickoff)</t>
  </si>
  <si>
    <t xml:space="preserve">Wendy + Rob own; no delegation</t>
  </si>
  <si>
    <t xml:space="preserve">Butterfly Wall design direction (Sallie Lord)</t>
  </si>
  <si>
    <t xml:space="preserve">Honors Sue; architectural statement, not craft</t>
  </si>
  <si>
    <t xml:space="preserve">Apr 26 brief / May 3 direction</t>
  </si>
  <si>
    <t xml:space="preserve">Sue tribute language (toast, Veuve cue, signage copy)</t>
  </si>
  <si>
    <t xml:space="preserve">Sacred, emotional; only Wendy's voice</t>
  </si>
  <si>
    <t xml:space="preserve">Live auction lot — Lakeside Weekend confirmation</t>
  </si>
  <si>
    <t xml:space="preserve">Single marquee lot; fewer/better</t>
  </si>
  <si>
    <t xml:space="preserve">Paddle raise ask ladder ($5K to $100)</t>
  </si>
  <si>
    <t xml:space="preserve">Fundraising math; donor psychology</t>
  </si>
  <si>
    <t xml:space="preserve">Title-tier sponsor partners (top 2–3)</t>
  </si>
  <si>
    <t xml:space="preserve">Strategic relationship</t>
  </si>
  <si>
    <t xml:space="preserve">Lead can close premium + community</t>
  </si>
  <si>
    <t xml:space="preserve">Kiera (MJFF) speaking slot &amp; tone brief</t>
  </si>
  <si>
    <t xml:space="preserve">Credibility anchor; 4:05 slot</t>
  </si>
  <si>
    <t xml:space="preserve">Guest list &amp; hospitality tone (tight, elevated, warm)</t>
  </si>
  <si>
    <t xml:space="preserve">Curated not broad</t>
  </si>
  <si>
    <t xml:space="preserve">Photographer + videographer hire</t>
  </si>
  <si>
    <t xml:space="preserve">Memory capture; no one hired yet</t>
  </si>
  <si>
    <t xml:space="preserve">Beverage order (Veuve + premium program)</t>
  </si>
  <si>
    <t xml:space="preserve">Veuve is Sue's — cannot be wrong</t>
  </si>
  <si>
    <t xml:space="preserve">42 bottles + prosecco backup</t>
  </si>
  <si>
    <t xml:space="preserve">Any last-minute scope change or cut</t>
  </si>
  <si>
    <t xml:space="preserve">Protects the Sue Test</t>
  </si>
  <si>
    <t xml:space="preserve">Ongoing</t>
  </si>
  <si>
    <t xml:space="preserve">Delegate Now — Tasks to Hand Off This Week</t>
  </si>
  <si>
    <t xml:space="preserve">What to move off Wendy's plate immediately to free up founder attention</t>
  </si>
  <si>
    <t xml:space="preserve">Delegate To</t>
  </si>
  <si>
    <t xml:space="preserve">Briefing Needed</t>
  </si>
  <si>
    <t xml:space="preserve">Lead caterer RFP logistics (emails, quote collection, comparison spreadsheet)</t>
  </si>
  <si>
    <t xml:space="preserve">Spec sheet + 3 caterer shortlist</t>
  </si>
  <si>
    <t xml:space="preserve">Wendy picks final</t>
  </si>
  <si>
    <t xml:space="preserve">Sponsor prospect outreach (Premium + Community tiers)</t>
  </si>
  <si>
    <t xml:space="preserve">Deck + tier list + moment map</t>
  </si>
  <si>
    <t xml:space="preserve">May 3 start</t>
  </si>
  <si>
    <t xml:space="preserve">Wendy closes Title tier only</t>
  </si>
  <si>
    <t xml:space="preserve">Volunteer recruitment (4 volunteers)</t>
  </si>
  <si>
    <t xml:space="preserve">4 role briefs from Plan v2</t>
  </si>
  <si>
    <t xml:space="preserve">Butterfly Wall fabrication logistics (after concept approved)</t>
  </si>
  <si>
    <t xml:space="preserve">Tribute Lead w/ Sallie Lord</t>
  </si>
  <si>
    <t xml:space="preserve">Wendy's design direction + timeline</t>
  </si>
  <si>
    <t xml:space="preserve">Jun 14 check-in</t>
  </si>
  <si>
    <t xml:space="preserve">Rentals order (tables, chairs, linen, glassware, bar build)</t>
  </si>
  <si>
    <t xml:space="preserve">Guest count + aesthetic palette</t>
  </si>
  <si>
    <t xml:space="preserve">Signage &amp; print coordination (programs, bar menus, sponsor boards)</t>
  </si>
  <si>
    <t xml:space="preserve">Sponsor Lead + Tribute Lead</t>
  </si>
  <si>
    <t xml:space="preserve">Design system + sponsor logos</t>
  </si>
  <si>
    <t xml:space="preserve">Wendy approves proofs</t>
  </si>
  <si>
    <t xml:space="preserve">Volunteer walkthrough + on-site briefing</t>
  </si>
  <si>
    <t xml:space="preserve">ROS + radio plan</t>
  </si>
  <si>
    <t xml:space="preserve">Vendor load-in schedule</t>
  </si>
  <si>
    <t xml:space="preserve">Final vendor list + timing</t>
  </si>
  <si>
    <t xml:space="preserve">Raffle + 50/50 comms push copy (Wendy voice notes, lead writes)</t>
  </si>
  <si>
    <t xml:space="preserve">Tone + facts brief</t>
  </si>
  <si>
    <t xml:space="preserve">Wendy approves each send</t>
  </si>
  <si>
    <t xml:space="preserve">Parking + valet logistics</t>
  </si>
  <si>
    <t xml:space="preserve">Neighborhood map + overflow plan</t>
  </si>
  <si>
    <t xml:space="preserve">Program printing + assembly (envelopes, name cards, butterfly tags)</t>
  </si>
  <si>
    <t xml:space="preserve">Tribute Lead + volunteer</t>
  </si>
  <si>
    <t xml:space="preserve">Proofs approved</t>
  </si>
  <si>
    <t xml:space="preserve">Vendor-Owned Responsibilities</t>
  </si>
  <si>
    <t xml:space="preserve">Professional vendors own execution; Wendy sets vision, approves proofs, signs contracts</t>
  </si>
  <si>
    <t xml:space="preserve">Vendor</t>
  </si>
  <si>
    <t xml:space="preserve">Owns</t>
  </si>
  <si>
    <t xml:space="preserve">Contract Signed By</t>
  </si>
  <si>
    <t xml:space="preserve">Fee / Budget</t>
  </si>
  <si>
    <t xml:space="preserve">Contact</t>
  </si>
  <si>
    <t xml:space="preserve">Caterer (TBD)</t>
  </si>
  <si>
    <t xml:space="preserve">Menu design, passed apps, action station, kitchen run, service staff, clean-up</t>
  </si>
  <si>
    <t xml:space="preserve">TBD</t>
  </si>
  <si>
    <t xml:space="preserve">Wendy picks</t>
  </si>
  <si>
    <t xml:space="preserve">Band (TBD — pop/modern country)</t>
  </si>
  <si>
    <t xml:space="preserve">Live music afternoon + cocktail + post-program; PA, zones, silence cue</t>
  </si>
  <si>
    <t xml:space="preserve">~$3,500–5,500</t>
  </si>
  <si>
    <t xml:space="preserve">Trio or quartet</t>
  </si>
  <si>
    <t xml:space="preserve">Tent + rentals</t>
  </si>
  <si>
    <t xml:space="preserve">Tent raising, sides, lighting, tables, chairs, linen, glassware</t>
  </si>
  <si>
    <t xml:space="preserve">Weather backup</t>
  </si>
  <si>
    <t xml:space="preserve">Florist</t>
  </si>
  <si>
    <t xml:space="preserve">Arrangements for program zone, bar, butterfly wall anchor, send-off</t>
  </si>
  <si>
    <t xml:space="preserve">Jun 1</t>
  </si>
  <si>
    <t xml:space="preserve">Palette per Plan</t>
  </si>
  <si>
    <t xml:space="preserve">Photographer</t>
  </si>
  <si>
    <t xml:space="preserve">Half-day coverage, 12 must-capture moments, portraits</t>
  </si>
  <si>
    <t xml:space="preserve">~$1,500–2,500</t>
  </si>
  <si>
    <t xml:space="preserve">None hired yet</t>
  </si>
  <si>
    <t xml:space="preserve">Videographer</t>
  </si>
  <si>
    <t xml:space="preserve">Half-day coverage, highlight reel (2–3 min), Wendy thank-you cut</t>
  </si>
  <si>
    <t xml:space="preserve">Live auction lot + paddle raise; pro nonprofit experience</t>
  </si>
  <si>
    <t xml:space="preserve">TBD (some comp)</t>
  </si>
  <si>
    <t xml:space="preserve">Sallie Lord (creative lead)</t>
  </si>
  <si>
    <t xml:space="preserve">Butterfly Wall design + install; tribute staging; aesthetic direction</t>
  </si>
  <si>
    <t xml:space="preserve">Relationship-based</t>
  </si>
  <si>
    <t xml:space="preserve">In-kind or fee</t>
  </si>
  <si>
    <t xml:space="preserve">Direct</t>
  </si>
  <si>
    <t xml:space="preserve">Creative partner, not vendor</t>
  </si>
  <si>
    <t xml:space="preserve">Rafflebox</t>
  </si>
  <si>
    <t xml:space="preserve">Boat raffle + 50/50 platform; RNG draw; compliance support</t>
  </si>
  <si>
    <t xml:space="preserve">% fee</t>
  </si>
  <si>
    <t xml:space="preserve">Rafflebox account</t>
  </si>
  <si>
    <t xml:space="preserve">IN charitable gaming</t>
  </si>
  <si>
    <t xml:space="preserve">Indy Boat Co (Dan Abbott)</t>
  </si>
  <si>
    <t xml:space="preserve">Boat donation, pickup logistics, speakerphone reveal moment</t>
  </si>
  <si>
    <t xml:space="preserve">Apr 24 (verbal)</t>
  </si>
  <si>
    <t xml:space="preserve">In-kind</t>
  </si>
  <si>
    <t xml:space="preserve">Dan direct</t>
  </si>
  <si>
    <t xml:space="preserve">Wendy + Rob own</t>
  </si>
  <si>
    <t xml:space="preserve">Valet / parking</t>
  </si>
  <si>
    <t xml:space="preserve">Lane direction, parking flow, overflow lot, signage</t>
  </si>
  <si>
    <t xml:space="preserve">Print shop</t>
  </si>
  <si>
    <t xml:space="preserve">Envelopes, name cards, butterfly tags, signage, sponsor boards</t>
  </si>
  <si>
    <t xml:space="preserve">MJFF (Kiera)</t>
  </si>
  <si>
    <t xml:space="preserve">Credibility anchor speaker, $2,500 event-experience contribution</t>
  </si>
  <si>
    <t xml:space="preserve">Already confirmed</t>
  </si>
  <si>
    <t xml:space="preserve">In-kind + $2,500</t>
  </si>
  <si>
    <t xml:space="preserve">Kiera direct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</si>
</sst>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E6EA"/>
        <bgColor rgb="FFE7E6E6"/>
      </patternFill>
    </fill>
    <fill>
      <patternFill patternType="solid">
        <fgColor rgb="FFD9E2F1"/>
        <bgColor rgb="FFE7E6E6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FFF4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E"/>
      <rgbColor rgb="FFE7E6E6"/>
      <rgbColor rgb="FF660066"/>
      <rgbColor rgb="FFFF8080"/>
      <rgbColor rgb="FF0066CC"/>
      <rgbColor rgb="FFD9E2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6E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24" hidden="false" customHeight="true" outlineLevel="0" collapsed="false">
      <c r="A5" s="4" t="s">
        <v>3</v>
      </c>
      <c r="B5" s="5" t="n">
        <f aca="false">COUNTA('Weekly Tracker'!C5:C89)</f>
        <v>85</v>
      </c>
    </row>
    <row r="6" customFormat="false" ht="24" hidden="false" customHeight="true" outlineLevel="0" collapsed="false">
      <c r="A6" s="4" t="s">
        <v>4</v>
      </c>
      <c r="B6" s="5" t="n">
        <f aca="false">COUNTIF('Weekly Tracker'!H5:H89,"Done")</f>
        <v>0</v>
      </c>
    </row>
    <row r="7" customFormat="false" ht="24" hidden="false" customHeight="true" outlineLevel="0" collapsed="false">
      <c r="A7" s="4" t="s">
        <v>5</v>
      </c>
      <c r="B7" s="5" t="n">
        <f aca="false">COUNTIF('Weekly Tracker'!H5:H89,"In Progress")</f>
        <v>1</v>
      </c>
    </row>
    <row r="8" customFormat="false" ht="24" hidden="false" customHeight="true" outlineLevel="0" collapsed="false">
      <c r="A8" s="4" t="s">
        <v>6</v>
      </c>
      <c r="B8" s="5" t="n">
        <f aca="false">COUNTIF('Weekly Tracker'!H5:H89,"Blocked")</f>
        <v>0</v>
      </c>
    </row>
    <row r="9" customFormat="false" ht="24" hidden="false" customHeight="true" outlineLevel="0" collapsed="false">
      <c r="A9" s="4" t="s">
        <v>7</v>
      </c>
      <c r="B9" s="5" t="n">
        <f aca="false">COUNTIF('Weekly Tracker'!H5:H89,"Not Started")</f>
        <v>84</v>
      </c>
    </row>
    <row r="10" customFormat="false" ht="24" hidden="false" customHeight="true" outlineLevel="0" collapsed="false">
      <c r="A10" s="4" t="s">
        <v>8</v>
      </c>
      <c r="B10" s="6" t="n">
        <f aca="false">IFERROR(COUNTIF('Weekly Tracker'!H5:H89,"Done")/COUNTA('Weekly Tracker'!C5:C89),0)</f>
        <v>0</v>
      </c>
    </row>
    <row r="11" customFormat="false" ht="24" hidden="false" customHeight="true" outlineLevel="0" collapsed="false">
      <c r="A11" s="4" t="s">
        <v>9</v>
      </c>
      <c r="B11" s="5" t="n">
        <f aca="false">COUNTIFS('Weekly Tracker'!I5:I89,"Yes",'Weekly Tracker'!H5:H89,"&lt;&gt;Done")</f>
        <v>60</v>
      </c>
    </row>
    <row r="14" customFormat="false" ht="15" hidden="false" customHeight="false" outlineLevel="0" collapsed="false">
      <c r="A14" s="3" t="s">
        <v>10</v>
      </c>
      <c r="B14" s="3"/>
      <c r="C14" s="3"/>
      <c r="D14" s="3"/>
    </row>
    <row r="15" customFormat="false" ht="25.5" hidden="false" customHeight="true" outlineLevel="0" collapsed="false">
      <c r="A15" s="7" t="s">
        <v>11</v>
      </c>
      <c r="B15" s="7" t="s">
        <v>12</v>
      </c>
      <c r="C15" s="7" t="s">
        <v>4</v>
      </c>
      <c r="D15" s="7" t="s">
        <v>8</v>
      </c>
    </row>
    <row r="16" customFormat="false" ht="15" hidden="false" customHeight="false" outlineLevel="0" collapsed="false">
      <c r="A16" s="8" t="s">
        <v>13</v>
      </c>
      <c r="B16" s="9" t="n">
        <f aca="false">COUNTIF('Weekly Tracker'!B5:B89,A16)</f>
        <v>3</v>
      </c>
      <c r="C16" s="9" t="n">
        <f aca="false">COUNTIFS('Weekly Tracker'!B5:B89,A16,'Weekly Tracker'!H5:H89,"Done")</f>
        <v>0</v>
      </c>
      <c r="D16" s="10" t="n">
        <f aca="false">IFERROR(C16/B16,0)</f>
        <v>0</v>
      </c>
    </row>
    <row r="17" customFormat="false" ht="15" hidden="false" customHeight="false" outlineLevel="0" collapsed="false">
      <c r="A17" s="8" t="s">
        <v>14</v>
      </c>
      <c r="B17" s="9" t="n">
        <f aca="false">COUNTIF('Weekly Tracker'!B5:B89,A17)</f>
        <v>13</v>
      </c>
      <c r="C17" s="9" t="n">
        <f aca="false">COUNTIFS('Weekly Tracker'!B5:B89,A17,'Weekly Tracker'!H5:H89,"Done")</f>
        <v>0</v>
      </c>
      <c r="D17" s="10" t="n">
        <f aca="false">IFERROR(C17/B17,0)</f>
        <v>0</v>
      </c>
    </row>
    <row r="18" customFormat="false" ht="15" hidden="false" customHeight="false" outlineLevel="0" collapsed="false">
      <c r="A18" s="8" t="s">
        <v>15</v>
      </c>
      <c r="B18" s="9" t="n">
        <f aca="false">COUNTIF('Weekly Tracker'!B5:B89,A18)</f>
        <v>2</v>
      </c>
      <c r="C18" s="9" t="n">
        <f aca="false">COUNTIFS('Weekly Tracker'!B5:B89,A18,'Weekly Tracker'!H5:H89,"Done")</f>
        <v>0</v>
      </c>
      <c r="D18" s="10" t="n">
        <f aca="false">IFERROR(C18/B18,0)</f>
        <v>0</v>
      </c>
    </row>
    <row r="19" customFormat="false" ht="15" hidden="false" customHeight="false" outlineLevel="0" collapsed="false">
      <c r="A19" s="8" t="s">
        <v>16</v>
      </c>
      <c r="B19" s="9" t="n">
        <f aca="false">COUNTIF('Weekly Tracker'!B5:B89,A19)</f>
        <v>6</v>
      </c>
      <c r="C19" s="9" t="n">
        <f aca="false">COUNTIFS('Weekly Tracker'!B5:B89,A19,'Weekly Tracker'!H5:H89,"Done")</f>
        <v>0</v>
      </c>
      <c r="D19" s="10" t="n">
        <f aca="false">IFERROR(C19/B19,0)</f>
        <v>0</v>
      </c>
    </row>
    <row r="20" customFormat="false" ht="15" hidden="false" customHeight="false" outlineLevel="0" collapsed="false">
      <c r="A20" s="8" t="s">
        <v>17</v>
      </c>
      <c r="B20" s="9" t="n">
        <f aca="false">COUNTIF('Weekly Tracker'!B5:B89,A20)</f>
        <v>5</v>
      </c>
      <c r="C20" s="9" t="n">
        <f aca="false">COUNTIFS('Weekly Tracker'!B5:B89,A20,'Weekly Tracker'!H5:H89,"Done")</f>
        <v>0</v>
      </c>
      <c r="D20" s="10" t="n">
        <f aca="false">IFERROR(C20/B20,0)</f>
        <v>0</v>
      </c>
    </row>
    <row r="21" customFormat="false" ht="15" hidden="false" customHeight="false" outlineLevel="0" collapsed="false">
      <c r="A21" s="8" t="s">
        <v>18</v>
      </c>
      <c r="B21" s="9" t="n">
        <f aca="false">COUNTIF('Weekly Tracker'!B5:B89,A21)</f>
        <v>9</v>
      </c>
      <c r="C21" s="9" t="n">
        <f aca="false">COUNTIFS('Weekly Tracker'!B5:B89,A21,'Weekly Tracker'!H5:H89,"Done")</f>
        <v>0</v>
      </c>
      <c r="D21" s="10" t="n">
        <f aca="false">IFERROR(C21/B21,0)</f>
        <v>0</v>
      </c>
    </row>
    <row r="22" customFormat="false" ht="15" hidden="false" customHeight="false" outlineLevel="0" collapsed="false">
      <c r="A22" s="8" t="s">
        <v>19</v>
      </c>
      <c r="B22" s="9" t="n">
        <f aca="false">COUNTIF('Weekly Tracker'!B5:B89,A22)</f>
        <v>8</v>
      </c>
      <c r="C22" s="9" t="n">
        <f aca="false">COUNTIFS('Weekly Tracker'!B5:B89,A22,'Weekly Tracker'!H5:H89,"Done")</f>
        <v>0</v>
      </c>
      <c r="D22" s="10" t="n">
        <f aca="false">IFERROR(C22/B22,0)</f>
        <v>0</v>
      </c>
    </row>
    <row r="23" customFormat="false" ht="15" hidden="false" customHeight="false" outlineLevel="0" collapsed="false">
      <c r="A23" s="8" t="s">
        <v>20</v>
      </c>
      <c r="B23" s="9" t="n">
        <f aca="false">COUNTIF('Weekly Tracker'!B5:B89,A23)</f>
        <v>3</v>
      </c>
      <c r="C23" s="9" t="n">
        <f aca="false">COUNTIFS('Weekly Tracker'!B5:B89,A23,'Weekly Tracker'!H5:H89,"Done")</f>
        <v>0</v>
      </c>
      <c r="D23" s="10" t="n">
        <f aca="false">IFERROR(C23/B23,0)</f>
        <v>0</v>
      </c>
    </row>
    <row r="24" customFormat="false" ht="15" hidden="false" customHeight="false" outlineLevel="0" collapsed="false">
      <c r="A24" s="8" t="s">
        <v>21</v>
      </c>
      <c r="B24" s="9" t="n">
        <f aca="false">COUNTIF('Weekly Tracker'!B5:B89,A24)</f>
        <v>3</v>
      </c>
      <c r="C24" s="9" t="n">
        <f aca="false">COUNTIFS('Weekly Tracker'!B5:B89,A24,'Weekly Tracker'!H5:H89,"Done")</f>
        <v>0</v>
      </c>
      <c r="D24" s="10" t="n">
        <f aca="false">IFERROR(C24/B24,0)</f>
        <v>0</v>
      </c>
    </row>
    <row r="25" customFormat="false" ht="15" hidden="false" customHeight="false" outlineLevel="0" collapsed="false">
      <c r="A25" s="8" t="s">
        <v>22</v>
      </c>
      <c r="B25" s="9" t="n">
        <f aca="false">COUNTIF('Weekly Tracker'!B5:B89,A25)</f>
        <v>3</v>
      </c>
      <c r="C25" s="9" t="n">
        <f aca="false">COUNTIFS('Weekly Tracker'!B5:B89,A25,'Weekly Tracker'!H5:H89,"Done")</f>
        <v>0</v>
      </c>
      <c r="D25" s="10" t="n">
        <f aca="false">IFERROR(C25/B25,0)</f>
        <v>0</v>
      </c>
    </row>
    <row r="26" customFormat="false" ht="15" hidden="false" customHeight="false" outlineLevel="0" collapsed="false">
      <c r="A26" s="8" t="s">
        <v>23</v>
      </c>
      <c r="B26" s="9" t="n">
        <f aca="false">COUNTIF('Weekly Tracker'!B5:B89,A26)</f>
        <v>3</v>
      </c>
      <c r="C26" s="9" t="n">
        <f aca="false">COUNTIFS('Weekly Tracker'!B5:B89,A26,'Weekly Tracker'!H5:H89,"Done")</f>
        <v>0</v>
      </c>
      <c r="D26" s="10" t="n">
        <f aca="false">IFERROR(C26/B26,0)</f>
        <v>0</v>
      </c>
    </row>
    <row r="27" customFormat="false" ht="15" hidden="false" customHeight="false" outlineLevel="0" collapsed="false">
      <c r="A27" s="8" t="s">
        <v>24</v>
      </c>
      <c r="B27" s="9" t="n">
        <f aca="false">COUNTIF('Weekly Tracker'!B5:B89,A27)</f>
        <v>2</v>
      </c>
      <c r="C27" s="9" t="n">
        <f aca="false">COUNTIFS('Weekly Tracker'!B5:B89,A27,'Weekly Tracker'!H5:H89,"Done")</f>
        <v>0</v>
      </c>
      <c r="D27" s="10" t="n">
        <f aca="false">IFERROR(C27/B27,0)</f>
        <v>0</v>
      </c>
    </row>
    <row r="28" customFormat="false" ht="15" hidden="false" customHeight="false" outlineLevel="0" collapsed="false">
      <c r="A28" s="8" t="s">
        <v>25</v>
      </c>
      <c r="B28" s="9" t="n">
        <f aca="false">COUNTIF('Weekly Tracker'!B5:B89,A28)</f>
        <v>1</v>
      </c>
      <c r="C28" s="9" t="n">
        <f aca="false">COUNTIFS('Weekly Tracker'!B5:B89,A28,'Weekly Tracker'!H5:H89,"Done")</f>
        <v>0</v>
      </c>
      <c r="D28" s="10" t="n">
        <f aca="false">IFERROR(C28/B28,0)</f>
        <v>0</v>
      </c>
    </row>
    <row r="29" customFormat="false" ht="15" hidden="false" customHeight="false" outlineLevel="0" collapsed="false">
      <c r="A29" s="8" t="s">
        <v>26</v>
      </c>
      <c r="B29" s="9" t="n">
        <f aca="false">COUNTIF('Weekly Tracker'!B5:B89,A29)</f>
        <v>3</v>
      </c>
      <c r="C29" s="9" t="n">
        <f aca="false">COUNTIFS('Weekly Tracker'!B5:B89,A29,'Weekly Tracker'!H5:H89,"Done")</f>
        <v>0</v>
      </c>
      <c r="D29" s="10" t="n">
        <f aca="false">IFERROR(C29/B29,0)</f>
        <v>0</v>
      </c>
    </row>
    <row r="30" customFormat="false" ht="15" hidden="false" customHeight="false" outlineLevel="0" collapsed="false">
      <c r="A30" s="8" t="s">
        <v>27</v>
      </c>
      <c r="B30" s="9" t="n">
        <f aca="false">COUNTIF('Weekly Tracker'!B5:B89,A30)</f>
        <v>4</v>
      </c>
      <c r="C30" s="9" t="n">
        <f aca="false">COUNTIFS('Weekly Tracker'!B5:B89,A30,'Weekly Tracker'!H5:H89,"Done")</f>
        <v>0</v>
      </c>
      <c r="D30" s="10" t="n">
        <f aca="false">IFERROR(C30/B30,0)</f>
        <v>0</v>
      </c>
    </row>
    <row r="31" customFormat="false" ht="15" hidden="false" customHeight="false" outlineLevel="0" collapsed="false">
      <c r="A31" s="8" t="s">
        <v>28</v>
      </c>
      <c r="B31" s="9" t="n">
        <f aca="false">COUNTIF('Weekly Tracker'!B5:B89,A31)</f>
        <v>11</v>
      </c>
      <c r="C31" s="9" t="n">
        <f aca="false">COUNTIFS('Weekly Tracker'!B5:B89,A31,'Weekly Tracker'!H5:H89,"Done")</f>
        <v>0</v>
      </c>
      <c r="D31" s="10" t="n">
        <f aca="false">IFERROR(C31/B31,0)</f>
        <v>0</v>
      </c>
    </row>
    <row r="32" customFormat="false" ht="15" hidden="false" customHeight="false" outlineLevel="0" collapsed="false">
      <c r="A32" s="8" t="s">
        <v>29</v>
      </c>
      <c r="B32" s="9" t="n">
        <f aca="false">COUNTIF('Weekly Tracker'!B5:B89,A32)</f>
        <v>1</v>
      </c>
      <c r="C32" s="9" t="n">
        <f aca="false">COUNTIFS('Weekly Tracker'!B5:B89,A32,'Weekly Tracker'!H5:H89,"Done")</f>
        <v>0</v>
      </c>
      <c r="D32" s="10" t="n">
        <f aca="false">IFERROR(C32/B32,0)</f>
        <v>0</v>
      </c>
    </row>
    <row r="33" customFormat="false" ht="15" hidden="false" customHeight="false" outlineLevel="0" collapsed="false">
      <c r="A33" s="8" t="s">
        <v>30</v>
      </c>
      <c r="B33" s="9" t="n">
        <f aca="false">COUNTIF('Weekly Tracker'!B5:B89,A33)</f>
        <v>3</v>
      </c>
      <c r="C33" s="9" t="n">
        <f aca="false">COUNTIFS('Weekly Tracker'!B5:B89,A33,'Weekly Tracker'!H5:H89,"Done")</f>
        <v>0</v>
      </c>
      <c r="D33" s="10" t="n">
        <f aca="false">IFERROR(C33/B33,0)</f>
        <v>0</v>
      </c>
    </row>
    <row r="34" customFormat="false" ht="15" hidden="false" customHeight="false" outlineLevel="0" collapsed="false">
      <c r="A34" s="8" t="s">
        <v>31</v>
      </c>
      <c r="B34" s="9" t="n">
        <f aca="false">COUNTIF('Weekly Tracker'!B5:B89,A34)</f>
        <v>1</v>
      </c>
      <c r="C34" s="9" t="n">
        <f aca="false">COUNTIFS('Weekly Tracker'!B5:B89,A34,'Weekly Tracker'!H5:H89,"Done")</f>
        <v>0</v>
      </c>
      <c r="D34" s="10" t="n">
        <f aca="false">IFERROR(C34/B34,0)</f>
        <v>0</v>
      </c>
    </row>
    <row r="35" customFormat="false" ht="15" hidden="false" customHeight="false" outlineLevel="0" collapsed="false">
      <c r="A35" s="8" t="s">
        <v>32</v>
      </c>
      <c r="B35" s="9" t="n">
        <f aca="false">COUNTIF('Weekly Tracker'!B5:B89,A35)</f>
        <v>1</v>
      </c>
      <c r="C35" s="9" t="n">
        <f aca="false">COUNTIFS('Weekly Tracker'!B5:B89,A35,'Weekly Tracker'!H5:H89,"Done")</f>
        <v>0</v>
      </c>
      <c r="D35" s="10" t="n">
        <f aca="false">IFERROR(C35/B35,0)</f>
        <v>0</v>
      </c>
    </row>
  </sheetData>
  <mergeCells count="4">
    <mergeCell ref="A1:D1"/>
    <mergeCell ref="A2:D2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3.75" hidden="false" customHeight="true" outlineLevel="0" collapsed="false">
      <c r="A4" s="11" t="s">
        <v>35</v>
      </c>
      <c r="B4" s="11" t="s">
        <v>11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</row>
    <row r="5" customFormat="false" ht="33.75" hidden="false" customHeight="true" outlineLevel="0" collapsed="false">
      <c r="A5" s="12" t="s">
        <v>44</v>
      </c>
      <c r="B5" s="12" t="s">
        <v>13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47</v>
      </c>
      <c r="H5" s="12" t="s">
        <v>5</v>
      </c>
      <c r="I5" s="12" t="s">
        <v>49</v>
      </c>
      <c r="J5" s="12" t="s">
        <v>50</v>
      </c>
    </row>
    <row r="6" customFormat="false" ht="33.75" hidden="false" customHeight="true" outlineLevel="0" collapsed="false">
      <c r="A6" s="12" t="s">
        <v>44</v>
      </c>
      <c r="B6" s="12" t="s">
        <v>13</v>
      </c>
      <c r="C6" s="12" t="s">
        <v>51</v>
      </c>
      <c r="D6" s="12" t="s">
        <v>46</v>
      </c>
      <c r="E6" s="12" t="s">
        <v>47</v>
      </c>
      <c r="F6" s="12" t="s">
        <v>52</v>
      </c>
      <c r="G6" s="12" t="s">
        <v>53</v>
      </c>
      <c r="H6" s="12" t="s">
        <v>7</v>
      </c>
      <c r="I6" s="12" t="s">
        <v>49</v>
      </c>
      <c r="J6" s="12" t="s">
        <v>54</v>
      </c>
    </row>
    <row r="7" customFormat="false" ht="33.75" hidden="false" customHeight="true" outlineLevel="0" collapsed="false">
      <c r="A7" s="12" t="s">
        <v>44</v>
      </c>
      <c r="B7" s="12" t="s">
        <v>14</v>
      </c>
      <c r="C7" s="12" t="s">
        <v>55</v>
      </c>
      <c r="D7" s="12" t="s">
        <v>56</v>
      </c>
      <c r="E7" s="12" t="s">
        <v>47</v>
      </c>
      <c r="F7" s="12" t="s">
        <v>48</v>
      </c>
      <c r="G7" s="12" t="s">
        <v>47</v>
      </c>
      <c r="H7" s="12" t="s">
        <v>7</v>
      </c>
      <c r="I7" s="12" t="s">
        <v>49</v>
      </c>
      <c r="J7" s="12" t="s">
        <v>57</v>
      </c>
    </row>
    <row r="8" customFormat="false" ht="33.75" hidden="false" customHeight="true" outlineLevel="0" collapsed="false">
      <c r="A8" s="12" t="s">
        <v>44</v>
      </c>
      <c r="B8" s="12" t="s">
        <v>14</v>
      </c>
      <c r="C8" s="12" t="s">
        <v>58</v>
      </c>
      <c r="D8" s="12" t="s">
        <v>46</v>
      </c>
      <c r="E8" s="12" t="s">
        <v>59</v>
      </c>
      <c r="F8" s="12" t="s">
        <v>60</v>
      </c>
      <c r="G8" s="12" t="s">
        <v>61</v>
      </c>
      <c r="H8" s="12" t="s">
        <v>7</v>
      </c>
      <c r="I8" s="12" t="s">
        <v>49</v>
      </c>
      <c r="J8" s="12" t="s">
        <v>62</v>
      </c>
    </row>
    <row r="9" customFormat="false" ht="33.75" hidden="false" customHeight="true" outlineLevel="0" collapsed="false">
      <c r="A9" s="12" t="s">
        <v>44</v>
      </c>
      <c r="B9" s="12" t="s">
        <v>16</v>
      </c>
      <c r="C9" s="12" t="s">
        <v>63</v>
      </c>
      <c r="D9" s="12" t="s">
        <v>46</v>
      </c>
      <c r="E9" s="12" t="s">
        <v>64</v>
      </c>
      <c r="F9" s="12" t="s">
        <v>52</v>
      </c>
      <c r="G9" s="12" t="s">
        <v>47</v>
      </c>
      <c r="H9" s="12" t="s">
        <v>7</v>
      </c>
      <c r="I9" s="12" t="s">
        <v>49</v>
      </c>
      <c r="J9" s="12" t="s">
        <v>65</v>
      </c>
    </row>
    <row r="10" customFormat="false" ht="33.75" hidden="false" customHeight="true" outlineLevel="0" collapsed="false">
      <c r="A10" s="12" t="s">
        <v>44</v>
      </c>
      <c r="B10" s="12" t="s">
        <v>17</v>
      </c>
      <c r="C10" s="12" t="s">
        <v>66</v>
      </c>
      <c r="D10" s="12" t="s">
        <v>46</v>
      </c>
      <c r="E10" s="12" t="s">
        <v>47</v>
      </c>
      <c r="F10" s="12" t="s">
        <v>52</v>
      </c>
      <c r="G10" s="12" t="s">
        <v>47</v>
      </c>
      <c r="H10" s="12" t="s">
        <v>7</v>
      </c>
      <c r="I10" s="12" t="s">
        <v>49</v>
      </c>
      <c r="J10" s="12" t="s">
        <v>67</v>
      </c>
    </row>
    <row r="11" customFormat="false" ht="33.75" hidden="false" customHeight="true" outlineLevel="0" collapsed="false">
      <c r="A11" s="12" t="s">
        <v>44</v>
      </c>
      <c r="B11" s="12" t="s">
        <v>18</v>
      </c>
      <c r="C11" s="12" t="s">
        <v>68</v>
      </c>
      <c r="D11" s="12" t="s">
        <v>46</v>
      </c>
      <c r="E11" s="12" t="s">
        <v>69</v>
      </c>
      <c r="F11" s="12" t="s">
        <v>52</v>
      </c>
      <c r="G11" s="12" t="s">
        <v>47</v>
      </c>
      <c r="H11" s="12" t="s">
        <v>7</v>
      </c>
      <c r="I11" s="12" t="s">
        <v>49</v>
      </c>
      <c r="J11" s="12" t="s">
        <v>70</v>
      </c>
    </row>
    <row r="12" customFormat="false" ht="33.75" hidden="false" customHeight="true" outlineLevel="0" collapsed="false">
      <c r="A12" s="12" t="s">
        <v>71</v>
      </c>
      <c r="B12" s="12" t="s">
        <v>14</v>
      </c>
      <c r="C12" s="12" t="s">
        <v>72</v>
      </c>
      <c r="D12" s="12" t="s">
        <v>46</v>
      </c>
      <c r="E12" s="12" t="s">
        <v>73</v>
      </c>
      <c r="F12" s="12" t="s">
        <v>74</v>
      </c>
      <c r="G12" s="12" t="s">
        <v>75</v>
      </c>
      <c r="H12" s="12" t="s">
        <v>7</v>
      </c>
      <c r="I12" s="12" t="s">
        <v>49</v>
      </c>
      <c r="J12" s="12" t="s">
        <v>76</v>
      </c>
    </row>
    <row r="13" customFormat="false" ht="33.75" hidden="false" customHeight="true" outlineLevel="0" collapsed="false">
      <c r="A13" s="12" t="s">
        <v>71</v>
      </c>
      <c r="B13" s="12" t="s">
        <v>14</v>
      </c>
      <c r="C13" s="12" t="s">
        <v>77</v>
      </c>
      <c r="D13" s="12" t="s">
        <v>46</v>
      </c>
      <c r="E13" s="12" t="s">
        <v>59</v>
      </c>
      <c r="F13" s="12" t="s">
        <v>74</v>
      </c>
      <c r="G13" s="12" t="s">
        <v>75</v>
      </c>
      <c r="H13" s="12" t="s">
        <v>7</v>
      </c>
      <c r="I13" s="12" t="s">
        <v>49</v>
      </c>
      <c r="J13" s="12" t="s">
        <v>78</v>
      </c>
    </row>
    <row r="14" customFormat="false" ht="33.75" hidden="false" customHeight="true" outlineLevel="0" collapsed="false">
      <c r="A14" s="12" t="s">
        <v>71</v>
      </c>
      <c r="B14" s="12" t="s">
        <v>16</v>
      </c>
      <c r="C14" s="12" t="s">
        <v>79</v>
      </c>
      <c r="D14" s="12" t="s">
        <v>46</v>
      </c>
      <c r="E14" s="12" t="s">
        <v>80</v>
      </c>
      <c r="F14" s="12" t="s">
        <v>81</v>
      </c>
      <c r="G14" s="12" t="s">
        <v>82</v>
      </c>
      <c r="H14" s="12" t="s">
        <v>7</v>
      </c>
      <c r="I14" s="12" t="s">
        <v>49</v>
      </c>
      <c r="J14" s="12"/>
    </row>
    <row r="15" customFormat="false" ht="33.75" hidden="false" customHeight="true" outlineLevel="0" collapsed="false">
      <c r="A15" s="12" t="s">
        <v>71</v>
      </c>
      <c r="B15" s="12" t="s">
        <v>17</v>
      </c>
      <c r="C15" s="12" t="s">
        <v>83</v>
      </c>
      <c r="D15" s="12" t="s">
        <v>46</v>
      </c>
      <c r="E15" s="12" t="s">
        <v>47</v>
      </c>
      <c r="F15" s="12" t="s">
        <v>84</v>
      </c>
      <c r="G15" s="12" t="s">
        <v>85</v>
      </c>
      <c r="H15" s="12" t="s">
        <v>7</v>
      </c>
      <c r="I15" s="12" t="s">
        <v>49</v>
      </c>
      <c r="J15" s="12" t="s">
        <v>86</v>
      </c>
    </row>
    <row r="16" customFormat="false" ht="33.75" hidden="false" customHeight="true" outlineLevel="0" collapsed="false">
      <c r="A16" s="12" t="s">
        <v>71</v>
      </c>
      <c r="B16" s="12" t="s">
        <v>18</v>
      </c>
      <c r="C16" s="12" t="s">
        <v>87</v>
      </c>
      <c r="D16" s="12" t="s">
        <v>46</v>
      </c>
      <c r="E16" s="12" t="s">
        <v>69</v>
      </c>
      <c r="F16" s="12" t="s">
        <v>84</v>
      </c>
      <c r="G16" s="12" t="s">
        <v>88</v>
      </c>
      <c r="H16" s="12" t="s">
        <v>7</v>
      </c>
      <c r="I16" s="12" t="s">
        <v>49</v>
      </c>
      <c r="J16" s="12"/>
    </row>
    <row r="17" customFormat="false" ht="33.75" hidden="false" customHeight="true" outlineLevel="0" collapsed="false">
      <c r="A17" s="12" t="s">
        <v>71</v>
      </c>
      <c r="B17" s="12" t="s">
        <v>19</v>
      </c>
      <c r="C17" s="12" t="s">
        <v>89</v>
      </c>
      <c r="D17" s="12" t="s">
        <v>46</v>
      </c>
      <c r="E17" s="12" t="s">
        <v>90</v>
      </c>
      <c r="F17" s="12" t="s">
        <v>84</v>
      </c>
      <c r="G17" s="12" t="s">
        <v>91</v>
      </c>
      <c r="H17" s="12" t="s">
        <v>7</v>
      </c>
      <c r="I17" s="12" t="s">
        <v>49</v>
      </c>
      <c r="J17" s="12" t="s">
        <v>92</v>
      </c>
    </row>
    <row r="18" customFormat="false" ht="33.75" hidden="false" customHeight="true" outlineLevel="0" collapsed="false">
      <c r="A18" s="12" t="s">
        <v>93</v>
      </c>
      <c r="B18" s="12" t="s">
        <v>16</v>
      </c>
      <c r="C18" s="12" t="s">
        <v>94</v>
      </c>
      <c r="D18" s="12" t="s">
        <v>46</v>
      </c>
      <c r="E18" s="12" t="s">
        <v>47</v>
      </c>
      <c r="F18" s="12" t="s">
        <v>95</v>
      </c>
      <c r="G18" s="12" t="s">
        <v>96</v>
      </c>
      <c r="H18" s="12" t="s">
        <v>7</v>
      </c>
      <c r="I18" s="12" t="s">
        <v>49</v>
      </c>
      <c r="J18" s="12" t="s">
        <v>97</v>
      </c>
    </row>
    <row r="19" customFormat="false" ht="33.75" hidden="false" customHeight="true" outlineLevel="0" collapsed="false">
      <c r="A19" s="12" t="s">
        <v>93</v>
      </c>
      <c r="B19" s="12" t="s">
        <v>16</v>
      </c>
      <c r="C19" s="12" t="s">
        <v>98</v>
      </c>
      <c r="D19" s="12" t="s">
        <v>46</v>
      </c>
      <c r="E19" s="12" t="s">
        <v>80</v>
      </c>
      <c r="F19" s="12" t="s">
        <v>95</v>
      </c>
      <c r="G19" s="12" t="s">
        <v>47</v>
      </c>
      <c r="H19" s="12" t="s">
        <v>7</v>
      </c>
      <c r="I19" s="12" t="s">
        <v>49</v>
      </c>
      <c r="J19" s="12" t="s">
        <v>99</v>
      </c>
    </row>
    <row r="20" customFormat="false" ht="33.75" hidden="false" customHeight="true" outlineLevel="0" collapsed="false">
      <c r="A20" s="12" t="s">
        <v>93</v>
      </c>
      <c r="B20" s="12" t="s">
        <v>16</v>
      </c>
      <c r="C20" s="12" t="s">
        <v>100</v>
      </c>
      <c r="D20" s="12" t="s">
        <v>46</v>
      </c>
      <c r="E20" s="12" t="s">
        <v>80</v>
      </c>
      <c r="F20" s="12" t="s">
        <v>95</v>
      </c>
      <c r="G20" s="12" t="s">
        <v>47</v>
      </c>
      <c r="H20" s="12" t="s">
        <v>7</v>
      </c>
      <c r="I20" s="12" t="s">
        <v>49</v>
      </c>
      <c r="J20" s="12" t="s">
        <v>101</v>
      </c>
    </row>
    <row r="21" customFormat="false" ht="33.75" hidden="false" customHeight="true" outlineLevel="0" collapsed="false">
      <c r="A21" s="12" t="s">
        <v>93</v>
      </c>
      <c r="B21" s="12" t="s">
        <v>17</v>
      </c>
      <c r="C21" s="12" t="s">
        <v>102</v>
      </c>
      <c r="D21" s="12" t="s">
        <v>46</v>
      </c>
      <c r="E21" s="12" t="s">
        <v>47</v>
      </c>
      <c r="F21" s="12" t="s">
        <v>95</v>
      </c>
      <c r="G21" s="12" t="s">
        <v>103</v>
      </c>
      <c r="H21" s="12" t="s">
        <v>7</v>
      </c>
      <c r="I21" s="12" t="s">
        <v>49</v>
      </c>
      <c r="J21" s="12"/>
    </row>
    <row r="22" customFormat="false" ht="33.75" hidden="false" customHeight="true" outlineLevel="0" collapsed="false">
      <c r="A22" s="12" t="s">
        <v>93</v>
      </c>
      <c r="B22" s="12" t="s">
        <v>18</v>
      </c>
      <c r="C22" s="12" t="s">
        <v>104</v>
      </c>
      <c r="D22" s="12" t="s">
        <v>46</v>
      </c>
      <c r="E22" s="12" t="s">
        <v>69</v>
      </c>
      <c r="F22" s="12" t="s">
        <v>105</v>
      </c>
      <c r="G22" s="12" t="s">
        <v>106</v>
      </c>
      <c r="H22" s="12" t="s">
        <v>7</v>
      </c>
      <c r="I22" s="12" t="s">
        <v>49</v>
      </c>
      <c r="J22" s="12"/>
    </row>
    <row r="23" customFormat="false" ht="33.75" hidden="false" customHeight="true" outlineLevel="0" collapsed="false">
      <c r="A23" s="12" t="s">
        <v>93</v>
      </c>
      <c r="B23" s="12" t="s">
        <v>19</v>
      </c>
      <c r="C23" s="12" t="s">
        <v>107</v>
      </c>
      <c r="D23" s="12" t="s">
        <v>90</v>
      </c>
      <c r="E23" s="12" t="s">
        <v>46</v>
      </c>
      <c r="F23" s="12" t="s">
        <v>105</v>
      </c>
      <c r="G23" s="12" t="s">
        <v>108</v>
      </c>
      <c r="H23" s="12" t="s">
        <v>7</v>
      </c>
      <c r="I23" s="12" t="s">
        <v>109</v>
      </c>
      <c r="J23" s="12" t="s">
        <v>110</v>
      </c>
    </row>
    <row r="24" customFormat="false" ht="33.75" hidden="false" customHeight="true" outlineLevel="0" collapsed="false">
      <c r="A24" s="12" t="s">
        <v>93</v>
      </c>
      <c r="B24" s="12" t="s">
        <v>14</v>
      </c>
      <c r="C24" s="12" t="s">
        <v>111</v>
      </c>
      <c r="D24" s="12" t="s">
        <v>46</v>
      </c>
      <c r="E24" s="12" t="s">
        <v>47</v>
      </c>
      <c r="F24" s="12" t="s">
        <v>105</v>
      </c>
      <c r="G24" s="12" t="s">
        <v>47</v>
      </c>
      <c r="H24" s="12" t="s">
        <v>7</v>
      </c>
      <c r="I24" s="12" t="s">
        <v>49</v>
      </c>
      <c r="J24" s="12"/>
    </row>
    <row r="25" customFormat="false" ht="33.75" hidden="false" customHeight="true" outlineLevel="0" collapsed="false">
      <c r="A25" s="12" t="s">
        <v>112</v>
      </c>
      <c r="B25" s="12" t="s">
        <v>15</v>
      </c>
      <c r="C25" s="12" t="s">
        <v>113</v>
      </c>
      <c r="D25" s="12" t="s">
        <v>46</v>
      </c>
      <c r="E25" s="12" t="s">
        <v>47</v>
      </c>
      <c r="F25" s="12" t="s">
        <v>114</v>
      </c>
      <c r="G25" s="12" t="s">
        <v>47</v>
      </c>
      <c r="H25" s="12" t="s">
        <v>7</v>
      </c>
      <c r="I25" s="12" t="s">
        <v>49</v>
      </c>
      <c r="J25" s="12" t="s">
        <v>115</v>
      </c>
    </row>
    <row r="26" customFormat="false" ht="33.75" hidden="false" customHeight="true" outlineLevel="0" collapsed="false">
      <c r="A26" s="12" t="s">
        <v>112</v>
      </c>
      <c r="B26" s="12" t="s">
        <v>14</v>
      </c>
      <c r="C26" s="12" t="s">
        <v>116</v>
      </c>
      <c r="D26" s="12" t="s">
        <v>46</v>
      </c>
      <c r="E26" s="12" t="s">
        <v>73</v>
      </c>
      <c r="F26" s="12" t="s">
        <v>114</v>
      </c>
      <c r="G26" s="12" t="s">
        <v>117</v>
      </c>
      <c r="H26" s="12" t="s">
        <v>7</v>
      </c>
      <c r="I26" s="12" t="s">
        <v>109</v>
      </c>
      <c r="J26" s="12"/>
    </row>
    <row r="27" customFormat="false" ht="33.75" hidden="false" customHeight="true" outlineLevel="0" collapsed="false">
      <c r="A27" s="12" t="s">
        <v>112</v>
      </c>
      <c r="B27" s="12" t="s">
        <v>20</v>
      </c>
      <c r="C27" s="12" t="s">
        <v>118</v>
      </c>
      <c r="D27" s="12" t="s">
        <v>46</v>
      </c>
      <c r="E27" s="12" t="s">
        <v>47</v>
      </c>
      <c r="F27" s="12" t="s">
        <v>114</v>
      </c>
      <c r="G27" s="12" t="s">
        <v>47</v>
      </c>
      <c r="H27" s="12" t="s">
        <v>7</v>
      </c>
      <c r="I27" s="12" t="s">
        <v>49</v>
      </c>
      <c r="J27" s="12"/>
    </row>
    <row r="28" customFormat="false" ht="33.75" hidden="false" customHeight="true" outlineLevel="0" collapsed="false">
      <c r="A28" s="12" t="s">
        <v>112</v>
      </c>
      <c r="B28" s="12" t="s">
        <v>21</v>
      </c>
      <c r="C28" s="12" t="s">
        <v>119</v>
      </c>
      <c r="D28" s="12" t="s">
        <v>46</v>
      </c>
      <c r="E28" s="12" t="s">
        <v>80</v>
      </c>
      <c r="F28" s="12" t="s">
        <v>120</v>
      </c>
      <c r="G28" s="12" t="s">
        <v>47</v>
      </c>
      <c r="H28" s="12" t="s">
        <v>7</v>
      </c>
      <c r="I28" s="12" t="s">
        <v>49</v>
      </c>
      <c r="J28" s="12" t="s">
        <v>121</v>
      </c>
    </row>
    <row r="29" customFormat="false" ht="33.75" hidden="false" customHeight="true" outlineLevel="0" collapsed="false">
      <c r="A29" s="12" t="s">
        <v>112</v>
      </c>
      <c r="B29" s="12" t="s">
        <v>22</v>
      </c>
      <c r="C29" s="12" t="s">
        <v>122</v>
      </c>
      <c r="D29" s="12" t="s">
        <v>46</v>
      </c>
      <c r="E29" s="12" t="s">
        <v>47</v>
      </c>
      <c r="F29" s="12" t="s">
        <v>120</v>
      </c>
      <c r="G29" s="12" t="s">
        <v>91</v>
      </c>
      <c r="H29" s="12" t="s">
        <v>7</v>
      </c>
      <c r="I29" s="12" t="s">
        <v>49</v>
      </c>
      <c r="J29" s="12" t="s">
        <v>123</v>
      </c>
    </row>
    <row r="30" customFormat="false" ht="33.75" hidden="false" customHeight="true" outlineLevel="0" collapsed="false">
      <c r="A30" s="12" t="s">
        <v>124</v>
      </c>
      <c r="B30" s="12" t="s">
        <v>19</v>
      </c>
      <c r="C30" s="12" t="s">
        <v>125</v>
      </c>
      <c r="D30" s="12" t="s">
        <v>46</v>
      </c>
      <c r="E30" s="12" t="s">
        <v>90</v>
      </c>
      <c r="F30" s="12" t="s">
        <v>126</v>
      </c>
      <c r="G30" s="12" t="s">
        <v>127</v>
      </c>
      <c r="H30" s="12" t="s">
        <v>7</v>
      </c>
      <c r="I30" s="12" t="s">
        <v>49</v>
      </c>
      <c r="J30" s="12"/>
    </row>
    <row r="31" customFormat="false" ht="33.75" hidden="false" customHeight="true" outlineLevel="0" collapsed="false">
      <c r="A31" s="12" t="s">
        <v>124</v>
      </c>
      <c r="B31" s="12" t="s">
        <v>19</v>
      </c>
      <c r="C31" s="12" t="s">
        <v>128</v>
      </c>
      <c r="D31" s="12" t="s">
        <v>90</v>
      </c>
      <c r="E31" s="12" t="s">
        <v>46</v>
      </c>
      <c r="F31" s="12" t="s">
        <v>126</v>
      </c>
      <c r="G31" s="12" t="s">
        <v>127</v>
      </c>
      <c r="H31" s="12" t="s">
        <v>7</v>
      </c>
      <c r="I31" s="12" t="s">
        <v>109</v>
      </c>
      <c r="J31" s="12"/>
    </row>
    <row r="32" customFormat="false" ht="33.75" hidden="false" customHeight="true" outlineLevel="0" collapsed="false">
      <c r="A32" s="12" t="s">
        <v>124</v>
      </c>
      <c r="B32" s="12" t="s">
        <v>25</v>
      </c>
      <c r="C32" s="12" t="s">
        <v>129</v>
      </c>
      <c r="D32" s="12" t="s">
        <v>80</v>
      </c>
      <c r="E32" s="12" t="s">
        <v>46</v>
      </c>
      <c r="F32" s="12" t="s">
        <v>130</v>
      </c>
      <c r="G32" s="12" t="s">
        <v>131</v>
      </c>
      <c r="H32" s="12" t="s">
        <v>7</v>
      </c>
      <c r="I32" s="12" t="s">
        <v>109</v>
      </c>
      <c r="J32" s="12" t="s">
        <v>132</v>
      </c>
    </row>
    <row r="33" customFormat="false" ht="33.75" hidden="false" customHeight="true" outlineLevel="0" collapsed="false">
      <c r="A33" s="12" t="s">
        <v>124</v>
      </c>
      <c r="B33" s="12" t="s">
        <v>18</v>
      </c>
      <c r="C33" s="12" t="s">
        <v>133</v>
      </c>
      <c r="D33" s="12" t="s">
        <v>69</v>
      </c>
      <c r="E33" s="12" t="s">
        <v>46</v>
      </c>
      <c r="F33" s="12" t="s">
        <v>126</v>
      </c>
      <c r="G33" s="12" t="s">
        <v>47</v>
      </c>
      <c r="H33" s="12" t="s">
        <v>7</v>
      </c>
      <c r="I33" s="12" t="s">
        <v>49</v>
      </c>
      <c r="J33" s="12" t="s">
        <v>134</v>
      </c>
    </row>
    <row r="34" customFormat="false" ht="33.75" hidden="false" customHeight="true" outlineLevel="0" collapsed="false">
      <c r="A34" s="12" t="s">
        <v>124</v>
      </c>
      <c r="B34" s="12" t="s">
        <v>24</v>
      </c>
      <c r="C34" s="12" t="s">
        <v>135</v>
      </c>
      <c r="D34" s="12" t="s">
        <v>46</v>
      </c>
      <c r="E34" s="12" t="s">
        <v>47</v>
      </c>
      <c r="F34" s="12" t="s">
        <v>126</v>
      </c>
      <c r="G34" s="12" t="s">
        <v>47</v>
      </c>
      <c r="H34" s="12" t="s">
        <v>7</v>
      </c>
      <c r="I34" s="12" t="s">
        <v>49</v>
      </c>
      <c r="J34" s="12" t="s">
        <v>136</v>
      </c>
    </row>
    <row r="35" customFormat="false" ht="33.75" hidden="false" customHeight="true" outlineLevel="0" collapsed="false">
      <c r="A35" s="12" t="s">
        <v>137</v>
      </c>
      <c r="B35" s="12" t="s">
        <v>14</v>
      </c>
      <c r="C35" s="12" t="s">
        <v>138</v>
      </c>
      <c r="D35" s="12" t="s">
        <v>56</v>
      </c>
      <c r="E35" s="12" t="s">
        <v>73</v>
      </c>
      <c r="F35" s="12" t="s">
        <v>139</v>
      </c>
      <c r="G35" s="12" t="s">
        <v>140</v>
      </c>
      <c r="H35" s="12" t="s">
        <v>7</v>
      </c>
      <c r="I35" s="12" t="s">
        <v>49</v>
      </c>
      <c r="J35" s="12"/>
    </row>
    <row r="36" customFormat="false" ht="33.75" hidden="false" customHeight="true" outlineLevel="0" collapsed="false">
      <c r="A36" s="12" t="s">
        <v>137</v>
      </c>
      <c r="B36" s="12" t="s">
        <v>20</v>
      </c>
      <c r="C36" s="12" t="s">
        <v>141</v>
      </c>
      <c r="D36" s="12" t="s">
        <v>46</v>
      </c>
      <c r="E36" s="12" t="s">
        <v>47</v>
      </c>
      <c r="F36" s="12" t="s">
        <v>139</v>
      </c>
      <c r="G36" s="12" t="s">
        <v>142</v>
      </c>
      <c r="H36" s="12" t="s">
        <v>7</v>
      </c>
      <c r="I36" s="12" t="s">
        <v>49</v>
      </c>
      <c r="J36" s="12"/>
    </row>
    <row r="37" customFormat="false" ht="33.75" hidden="false" customHeight="true" outlineLevel="0" collapsed="false">
      <c r="A37" s="12" t="s">
        <v>137</v>
      </c>
      <c r="B37" s="12" t="s">
        <v>19</v>
      </c>
      <c r="C37" s="12" t="s">
        <v>143</v>
      </c>
      <c r="D37" s="12" t="s">
        <v>90</v>
      </c>
      <c r="E37" s="12" t="s">
        <v>47</v>
      </c>
      <c r="F37" s="12" t="s">
        <v>139</v>
      </c>
      <c r="G37" s="12" t="s">
        <v>144</v>
      </c>
      <c r="H37" s="12" t="s">
        <v>7</v>
      </c>
      <c r="I37" s="12" t="s">
        <v>109</v>
      </c>
      <c r="J37" s="12"/>
    </row>
    <row r="38" customFormat="false" ht="33.75" hidden="false" customHeight="true" outlineLevel="0" collapsed="false">
      <c r="A38" s="12" t="s">
        <v>137</v>
      </c>
      <c r="B38" s="12" t="s">
        <v>23</v>
      </c>
      <c r="C38" s="12" t="s">
        <v>145</v>
      </c>
      <c r="D38" s="12" t="s">
        <v>146</v>
      </c>
      <c r="E38" s="12" t="s">
        <v>46</v>
      </c>
      <c r="F38" s="12" t="s">
        <v>139</v>
      </c>
      <c r="G38" s="12" t="s">
        <v>47</v>
      </c>
      <c r="H38" s="12" t="s">
        <v>7</v>
      </c>
      <c r="I38" s="12" t="s">
        <v>49</v>
      </c>
      <c r="J38" s="12" t="s">
        <v>147</v>
      </c>
    </row>
    <row r="39" customFormat="false" ht="33.75" hidden="false" customHeight="true" outlineLevel="0" collapsed="false">
      <c r="A39" s="12" t="s">
        <v>137</v>
      </c>
      <c r="B39" s="12" t="s">
        <v>22</v>
      </c>
      <c r="C39" s="12" t="s">
        <v>148</v>
      </c>
      <c r="D39" s="12" t="s">
        <v>46</v>
      </c>
      <c r="E39" s="12" t="s">
        <v>47</v>
      </c>
      <c r="F39" s="12" t="s">
        <v>139</v>
      </c>
      <c r="G39" s="12" t="s">
        <v>149</v>
      </c>
      <c r="H39" s="12" t="s">
        <v>7</v>
      </c>
      <c r="I39" s="12" t="s">
        <v>109</v>
      </c>
      <c r="J39" s="12"/>
    </row>
    <row r="40" customFormat="false" ht="33.75" hidden="false" customHeight="true" outlineLevel="0" collapsed="false">
      <c r="A40" s="12" t="s">
        <v>150</v>
      </c>
      <c r="B40" s="12" t="s">
        <v>15</v>
      </c>
      <c r="C40" s="12" t="s">
        <v>151</v>
      </c>
      <c r="D40" s="12" t="s">
        <v>46</v>
      </c>
      <c r="E40" s="12" t="s">
        <v>152</v>
      </c>
      <c r="F40" s="12" t="s">
        <v>153</v>
      </c>
      <c r="G40" s="12" t="s">
        <v>154</v>
      </c>
      <c r="H40" s="12" t="s">
        <v>7</v>
      </c>
      <c r="I40" s="12" t="s">
        <v>49</v>
      </c>
      <c r="J40" s="12"/>
    </row>
    <row r="41" customFormat="false" ht="33.75" hidden="false" customHeight="true" outlineLevel="0" collapsed="false">
      <c r="A41" s="12" t="s">
        <v>150</v>
      </c>
      <c r="B41" s="12" t="s">
        <v>14</v>
      </c>
      <c r="C41" s="12" t="s">
        <v>155</v>
      </c>
      <c r="D41" s="12" t="s">
        <v>152</v>
      </c>
      <c r="E41" s="12" t="s">
        <v>46</v>
      </c>
      <c r="F41" s="12" t="s">
        <v>153</v>
      </c>
      <c r="G41" s="12" t="s">
        <v>47</v>
      </c>
      <c r="H41" s="12" t="s">
        <v>7</v>
      </c>
      <c r="I41" s="12" t="s">
        <v>49</v>
      </c>
      <c r="J41" s="12" t="s">
        <v>156</v>
      </c>
    </row>
    <row r="42" customFormat="false" ht="33.75" hidden="false" customHeight="true" outlineLevel="0" collapsed="false">
      <c r="A42" s="12" t="s">
        <v>150</v>
      </c>
      <c r="B42" s="12" t="s">
        <v>18</v>
      </c>
      <c r="C42" s="12" t="s">
        <v>157</v>
      </c>
      <c r="D42" s="12" t="s">
        <v>46</v>
      </c>
      <c r="E42" s="12" t="s">
        <v>69</v>
      </c>
      <c r="F42" s="12" t="s">
        <v>158</v>
      </c>
      <c r="G42" s="12" t="s">
        <v>47</v>
      </c>
      <c r="H42" s="12" t="s">
        <v>7</v>
      </c>
      <c r="I42" s="12" t="s">
        <v>49</v>
      </c>
      <c r="J42" s="12" t="s">
        <v>159</v>
      </c>
    </row>
    <row r="43" customFormat="false" ht="33.75" hidden="false" customHeight="true" outlineLevel="0" collapsed="false">
      <c r="A43" s="12" t="s">
        <v>150</v>
      </c>
      <c r="B43" s="12" t="s">
        <v>19</v>
      </c>
      <c r="C43" s="12" t="s">
        <v>160</v>
      </c>
      <c r="D43" s="12" t="s">
        <v>90</v>
      </c>
      <c r="E43" s="12" t="s">
        <v>46</v>
      </c>
      <c r="F43" s="12" t="s">
        <v>158</v>
      </c>
      <c r="G43" s="12" t="s">
        <v>161</v>
      </c>
      <c r="H43" s="12" t="s">
        <v>7</v>
      </c>
      <c r="I43" s="12" t="s">
        <v>49</v>
      </c>
      <c r="J43" s="12"/>
    </row>
    <row r="44" customFormat="false" ht="33.75" hidden="false" customHeight="true" outlineLevel="0" collapsed="false">
      <c r="A44" s="12" t="s">
        <v>150</v>
      </c>
      <c r="B44" s="12" t="s">
        <v>21</v>
      </c>
      <c r="C44" s="12" t="s">
        <v>162</v>
      </c>
      <c r="D44" s="12" t="s">
        <v>80</v>
      </c>
      <c r="E44" s="12" t="s">
        <v>46</v>
      </c>
      <c r="F44" s="12" t="s">
        <v>158</v>
      </c>
      <c r="G44" s="12" t="s">
        <v>47</v>
      </c>
      <c r="H44" s="12" t="s">
        <v>7</v>
      </c>
      <c r="I44" s="12" t="s">
        <v>109</v>
      </c>
      <c r="J44" s="12"/>
    </row>
    <row r="45" customFormat="false" ht="33.75" hidden="false" customHeight="true" outlineLevel="0" collapsed="false">
      <c r="A45" s="12" t="s">
        <v>163</v>
      </c>
      <c r="B45" s="12" t="s">
        <v>14</v>
      </c>
      <c r="C45" s="12" t="s">
        <v>164</v>
      </c>
      <c r="D45" s="12" t="s">
        <v>46</v>
      </c>
      <c r="E45" s="12" t="s">
        <v>73</v>
      </c>
      <c r="F45" s="12" t="s">
        <v>165</v>
      </c>
      <c r="G45" s="12" t="s">
        <v>47</v>
      </c>
      <c r="H45" s="12" t="s">
        <v>7</v>
      </c>
      <c r="I45" s="12" t="s">
        <v>109</v>
      </c>
      <c r="J45" s="12"/>
    </row>
    <row r="46" customFormat="false" ht="33.75" hidden="false" customHeight="true" outlineLevel="0" collapsed="false">
      <c r="A46" s="12" t="s">
        <v>163</v>
      </c>
      <c r="B46" s="12" t="s">
        <v>17</v>
      </c>
      <c r="C46" s="12" t="s">
        <v>166</v>
      </c>
      <c r="D46" s="12" t="s">
        <v>46</v>
      </c>
      <c r="E46" s="12" t="s">
        <v>47</v>
      </c>
      <c r="F46" s="12" t="s">
        <v>167</v>
      </c>
      <c r="G46" s="12" t="s">
        <v>168</v>
      </c>
      <c r="H46" s="12" t="s">
        <v>7</v>
      </c>
      <c r="I46" s="12" t="s">
        <v>49</v>
      </c>
      <c r="J46" s="12"/>
    </row>
    <row r="47" customFormat="false" ht="33.75" hidden="false" customHeight="true" outlineLevel="0" collapsed="false">
      <c r="A47" s="12" t="s">
        <v>163</v>
      </c>
      <c r="B47" s="12" t="s">
        <v>18</v>
      </c>
      <c r="C47" s="12" t="s">
        <v>169</v>
      </c>
      <c r="D47" s="12" t="s">
        <v>46</v>
      </c>
      <c r="E47" s="12" t="s">
        <v>69</v>
      </c>
      <c r="F47" s="12" t="s">
        <v>167</v>
      </c>
      <c r="G47" s="12" t="s">
        <v>47</v>
      </c>
      <c r="H47" s="12" t="s">
        <v>7</v>
      </c>
      <c r="I47" s="12" t="s">
        <v>49</v>
      </c>
      <c r="J47" s="12"/>
    </row>
    <row r="48" customFormat="false" ht="33.75" hidden="false" customHeight="true" outlineLevel="0" collapsed="false">
      <c r="A48" s="12" t="s">
        <v>163</v>
      </c>
      <c r="B48" s="12" t="s">
        <v>23</v>
      </c>
      <c r="C48" s="12" t="s">
        <v>170</v>
      </c>
      <c r="D48" s="12" t="s">
        <v>146</v>
      </c>
      <c r="E48" s="12" t="s">
        <v>46</v>
      </c>
      <c r="F48" s="12" t="s">
        <v>167</v>
      </c>
      <c r="G48" s="12" t="s">
        <v>171</v>
      </c>
      <c r="H48" s="12" t="s">
        <v>7</v>
      </c>
      <c r="I48" s="12" t="s">
        <v>109</v>
      </c>
      <c r="J48" s="12"/>
    </row>
    <row r="49" customFormat="false" ht="33.75" hidden="false" customHeight="true" outlineLevel="0" collapsed="false">
      <c r="A49" s="12" t="s">
        <v>172</v>
      </c>
      <c r="B49" s="12" t="s">
        <v>26</v>
      </c>
      <c r="C49" s="12" t="s">
        <v>173</v>
      </c>
      <c r="D49" s="12" t="s">
        <v>46</v>
      </c>
      <c r="E49" s="12" t="s">
        <v>146</v>
      </c>
      <c r="F49" s="12" t="s">
        <v>174</v>
      </c>
      <c r="G49" s="12" t="s">
        <v>47</v>
      </c>
      <c r="H49" s="12" t="s">
        <v>7</v>
      </c>
      <c r="I49" s="12" t="s">
        <v>49</v>
      </c>
      <c r="J49" s="12"/>
    </row>
    <row r="50" customFormat="false" ht="33.75" hidden="false" customHeight="true" outlineLevel="0" collapsed="false">
      <c r="A50" s="12" t="s">
        <v>172</v>
      </c>
      <c r="B50" s="12" t="s">
        <v>14</v>
      </c>
      <c r="C50" s="12" t="s">
        <v>175</v>
      </c>
      <c r="D50" s="12" t="s">
        <v>46</v>
      </c>
      <c r="E50" s="12" t="s">
        <v>152</v>
      </c>
      <c r="F50" s="12" t="s">
        <v>174</v>
      </c>
      <c r="G50" s="12" t="s">
        <v>176</v>
      </c>
      <c r="H50" s="12" t="s">
        <v>7</v>
      </c>
      <c r="I50" s="12" t="s">
        <v>49</v>
      </c>
      <c r="J50" s="12"/>
    </row>
    <row r="51" customFormat="false" ht="33.75" hidden="false" customHeight="true" outlineLevel="0" collapsed="false">
      <c r="A51" s="12" t="s">
        <v>172</v>
      </c>
      <c r="B51" s="12" t="s">
        <v>24</v>
      </c>
      <c r="C51" s="12" t="s">
        <v>177</v>
      </c>
      <c r="D51" s="12" t="s">
        <v>46</v>
      </c>
      <c r="E51" s="12" t="s">
        <v>47</v>
      </c>
      <c r="F51" s="12" t="s">
        <v>174</v>
      </c>
      <c r="G51" s="12" t="s">
        <v>47</v>
      </c>
      <c r="H51" s="12" t="s">
        <v>7</v>
      </c>
      <c r="I51" s="12" t="s">
        <v>49</v>
      </c>
      <c r="J51" s="12"/>
    </row>
    <row r="52" customFormat="false" ht="33.75" hidden="false" customHeight="true" outlineLevel="0" collapsed="false">
      <c r="A52" s="12" t="s">
        <v>172</v>
      </c>
      <c r="B52" s="12" t="s">
        <v>19</v>
      </c>
      <c r="C52" s="12" t="s">
        <v>178</v>
      </c>
      <c r="D52" s="12" t="s">
        <v>90</v>
      </c>
      <c r="E52" s="12" t="s">
        <v>47</v>
      </c>
      <c r="F52" s="12" t="s">
        <v>174</v>
      </c>
      <c r="G52" s="12" t="s">
        <v>144</v>
      </c>
      <c r="H52" s="12" t="s">
        <v>7</v>
      </c>
      <c r="I52" s="12" t="s">
        <v>109</v>
      </c>
      <c r="J52" s="12"/>
    </row>
    <row r="53" customFormat="false" ht="33.75" hidden="false" customHeight="true" outlineLevel="0" collapsed="false">
      <c r="A53" s="12" t="s">
        <v>179</v>
      </c>
      <c r="B53" s="12" t="s">
        <v>20</v>
      </c>
      <c r="C53" s="12" t="s">
        <v>180</v>
      </c>
      <c r="D53" s="12" t="s">
        <v>46</v>
      </c>
      <c r="E53" s="12" t="s">
        <v>47</v>
      </c>
      <c r="F53" s="12" t="s">
        <v>181</v>
      </c>
      <c r="G53" s="12" t="s">
        <v>182</v>
      </c>
      <c r="H53" s="12" t="s">
        <v>7</v>
      </c>
      <c r="I53" s="12" t="s">
        <v>109</v>
      </c>
      <c r="J53" s="12"/>
    </row>
    <row r="54" customFormat="false" ht="33.75" hidden="false" customHeight="true" outlineLevel="0" collapsed="false">
      <c r="A54" s="12" t="s">
        <v>179</v>
      </c>
      <c r="B54" s="12" t="s">
        <v>16</v>
      </c>
      <c r="C54" s="12" t="s">
        <v>183</v>
      </c>
      <c r="D54" s="12" t="s">
        <v>46</v>
      </c>
      <c r="E54" s="12" t="s">
        <v>80</v>
      </c>
      <c r="F54" s="12" t="s">
        <v>181</v>
      </c>
      <c r="G54" s="12" t="s">
        <v>182</v>
      </c>
      <c r="H54" s="12" t="s">
        <v>7</v>
      </c>
      <c r="I54" s="12" t="s">
        <v>49</v>
      </c>
      <c r="J54" s="12"/>
    </row>
    <row r="55" customFormat="false" ht="33.75" hidden="false" customHeight="true" outlineLevel="0" collapsed="false">
      <c r="A55" s="12" t="s">
        <v>179</v>
      </c>
      <c r="B55" s="12" t="s">
        <v>18</v>
      </c>
      <c r="C55" s="12" t="s">
        <v>184</v>
      </c>
      <c r="D55" s="12" t="s">
        <v>69</v>
      </c>
      <c r="E55" s="12" t="s">
        <v>185</v>
      </c>
      <c r="F55" s="12" t="s">
        <v>181</v>
      </c>
      <c r="G55" s="12" t="s">
        <v>186</v>
      </c>
      <c r="H55" s="12" t="s">
        <v>7</v>
      </c>
      <c r="I55" s="12" t="s">
        <v>109</v>
      </c>
      <c r="J55" s="12"/>
    </row>
    <row r="56" customFormat="false" ht="33.75" hidden="false" customHeight="true" outlineLevel="0" collapsed="false">
      <c r="A56" s="12" t="s">
        <v>179</v>
      </c>
      <c r="B56" s="12" t="s">
        <v>22</v>
      </c>
      <c r="C56" s="12" t="s">
        <v>187</v>
      </c>
      <c r="D56" s="12" t="s">
        <v>46</v>
      </c>
      <c r="E56" s="12" t="s">
        <v>47</v>
      </c>
      <c r="F56" s="12" t="s">
        <v>181</v>
      </c>
      <c r="G56" s="12" t="s">
        <v>47</v>
      </c>
      <c r="H56" s="12" t="s">
        <v>7</v>
      </c>
      <c r="I56" s="12" t="s">
        <v>49</v>
      </c>
      <c r="J56" s="12"/>
    </row>
    <row r="57" customFormat="false" ht="33.75" hidden="false" customHeight="true" outlineLevel="0" collapsed="false">
      <c r="A57" s="12" t="s">
        <v>188</v>
      </c>
      <c r="B57" s="12" t="s">
        <v>14</v>
      </c>
      <c r="C57" s="12" t="s">
        <v>189</v>
      </c>
      <c r="D57" s="12" t="s">
        <v>46</v>
      </c>
      <c r="E57" s="12" t="s">
        <v>73</v>
      </c>
      <c r="F57" s="12" t="s">
        <v>190</v>
      </c>
      <c r="G57" s="12" t="s">
        <v>47</v>
      </c>
      <c r="H57" s="12" t="s">
        <v>7</v>
      </c>
      <c r="I57" s="12" t="s">
        <v>49</v>
      </c>
      <c r="J57" s="12"/>
    </row>
    <row r="58" customFormat="false" ht="33.75" hidden="false" customHeight="true" outlineLevel="0" collapsed="false">
      <c r="A58" s="12" t="s">
        <v>188</v>
      </c>
      <c r="B58" s="12" t="s">
        <v>26</v>
      </c>
      <c r="C58" s="12" t="s">
        <v>191</v>
      </c>
      <c r="D58" s="12" t="s">
        <v>46</v>
      </c>
      <c r="E58" s="12" t="s">
        <v>192</v>
      </c>
      <c r="F58" s="12" t="s">
        <v>193</v>
      </c>
      <c r="G58" s="12" t="s">
        <v>194</v>
      </c>
      <c r="H58" s="12" t="s">
        <v>7</v>
      </c>
      <c r="I58" s="12" t="s">
        <v>49</v>
      </c>
      <c r="J58" s="12"/>
    </row>
    <row r="59" customFormat="false" ht="33.75" hidden="false" customHeight="true" outlineLevel="0" collapsed="false">
      <c r="A59" s="12" t="s">
        <v>188</v>
      </c>
      <c r="B59" s="12" t="s">
        <v>19</v>
      </c>
      <c r="C59" s="12" t="s">
        <v>195</v>
      </c>
      <c r="D59" s="12" t="s">
        <v>90</v>
      </c>
      <c r="E59" s="12" t="s">
        <v>46</v>
      </c>
      <c r="F59" s="12" t="s">
        <v>193</v>
      </c>
      <c r="G59" s="12" t="s">
        <v>196</v>
      </c>
      <c r="H59" s="12" t="s">
        <v>7</v>
      </c>
      <c r="I59" s="12" t="s">
        <v>109</v>
      </c>
      <c r="J59" s="12"/>
    </row>
    <row r="60" customFormat="false" ht="33.75" hidden="false" customHeight="true" outlineLevel="0" collapsed="false">
      <c r="A60" s="12" t="s">
        <v>188</v>
      </c>
      <c r="B60" s="12" t="s">
        <v>17</v>
      </c>
      <c r="C60" s="12" t="s">
        <v>197</v>
      </c>
      <c r="D60" s="12" t="s">
        <v>46</v>
      </c>
      <c r="E60" s="12" t="s">
        <v>198</v>
      </c>
      <c r="F60" s="12" t="s">
        <v>193</v>
      </c>
      <c r="G60" s="12" t="s">
        <v>47</v>
      </c>
      <c r="H60" s="12" t="s">
        <v>7</v>
      </c>
      <c r="I60" s="12" t="s">
        <v>49</v>
      </c>
      <c r="J60" s="12"/>
    </row>
    <row r="61" customFormat="false" ht="33.75" hidden="false" customHeight="true" outlineLevel="0" collapsed="false">
      <c r="A61" s="12" t="s">
        <v>199</v>
      </c>
      <c r="B61" s="12" t="s">
        <v>18</v>
      </c>
      <c r="C61" s="12" t="s">
        <v>200</v>
      </c>
      <c r="D61" s="12" t="s">
        <v>46</v>
      </c>
      <c r="E61" s="12" t="s">
        <v>201</v>
      </c>
      <c r="F61" s="12" t="s">
        <v>202</v>
      </c>
      <c r="G61" s="12" t="s">
        <v>203</v>
      </c>
      <c r="H61" s="12" t="s">
        <v>7</v>
      </c>
      <c r="I61" s="12" t="s">
        <v>49</v>
      </c>
      <c r="J61" s="12"/>
    </row>
    <row r="62" customFormat="false" ht="33.75" hidden="false" customHeight="true" outlineLevel="0" collapsed="false">
      <c r="A62" s="12" t="s">
        <v>199</v>
      </c>
      <c r="B62" s="12" t="s">
        <v>23</v>
      </c>
      <c r="C62" s="12" t="s">
        <v>204</v>
      </c>
      <c r="D62" s="12" t="s">
        <v>146</v>
      </c>
      <c r="E62" s="12" t="s">
        <v>46</v>
      </c>
      <c r="F62" s="12" t="s">
        <v>205</v>
      </c>
      <c r="G62" s="12" t="s">
        <v>47</v>
      </c>
      <c r="H62" s="12" t="s">
        <v>7</v>
      </c>
      <c r="I62" s="12" t="s">
        <v>109</v>
      </c>
      <c r="J62" s="12"/>
    </row>
    <row r="63" customFormat="false" ht="33.75" hidden="false" customHeight="true" outlineLevel="0" collapsed="false">
      <c r="A63" s="12" t="s">
        <v>199</v>
      </c>
      <c r="B63" s="12" t="s">
        <v>14</v>
      </c>
      <c r="C63" s="12" t="s">
        <v>206</v>
      </c>
      <c r="D63" s="12" t="s">
        <v>46</v>
      </c>
      <c r="E63" s="12" t="s">
        <v>73</v>
      </c>
      <c r="F63" s="12" t="s">
        <v>205</v>
      </c>
      <c r="G63" s="12" t="s">
        <v>47</v>
      </c>
      <c r="H63" s="12" t="s">
        <v>7</v>
      </c>
      <c r="I63" s="12" t="s">
        <v>109</v>
      </c>
      <c r="J63" s="12"/>
    </row>
    <row r="64" customFormat="false" ht="33.75" hidden="false" customHeight="true" outlineLevel="0" collapsed="false">
      <c r="A64" s="12" t="s">
        <v>199</v>
      </c>
      <c r="B64" s="12" t="s">
        <v>26</v>
      </c>
      <c r="C64" s="12" t="s">
        <v>207</v>
      </c>
      <c r="D64" s="12" t="s">
        <v>46</v>
      </c>
      <c r="E64" s="12" t="s">
        <v>47</v>
      </c>
      <c r="F64" s="12" t="s">
        <v>205</v>
      </c>
      <c r="G64" s="12" t="s">
        <v>208</v>
      </c>
      <c r="H64" s="12" t="s">
        <v>7</v>
      </c>
      <c r="I64" s="12" t="s">
        <v>49</v>
      </c>
      <c r="J64" s="12"/>
    </row>
    <row r="65" customFormat="false" ht="33.75" hidden="false" customHeight="true" outlineLevel="0" collapsed="false">
      <c r="A65" s="12" t="s">
        <v>209</v>
      </c>
      <c r="B65" s="12" t="s">
        <v>29</v>
      </c>
      <c r="C65" s="12" t="s">
        <v>210</v>
      </c>
      <c r="D65" s="12" t="s">
        <v>80</v>
      </c>
      <c r="E65" s="12" t="s">
        <v>46</v>
      </c>
      <c r="F65" s="12" t="s">
        <v>211</v>
      </c>
      <c r="G65" s="12" t="s">
        <v>47</v>
      </c>
      <c r="H65" s="12" t="s">
        <v>7</v>
      </c>
      <c r="I65" s="12" t="s">
        <v>109</v>
      </c>
      <c r="J65" s="12"/>
    </row>
    <row r="66" customFormat="false" ht="33.75" hidden="false" customHeight="true" outlineLevel="0" collapsed="false">
      <c r="A66" s="12" t="s">
        <v>209</v>
      </c>
      <c r="B66" s="12" t="s">
        <v>18</v>
      </c>
      <c r="C66" s="12" t="s">
        <v>212</v>
      </c>
      <c r="D66" s="12" t="s">
        <v>213</v>
      </c>
      <c r="E66" s="12" t="s">
        <v>214</v>
      </c>
      <c r="F66" s="12" t="s">
        <v>215</v>
      </c>
      <c r="G66" s="12" t="s">
        <v>216</v>
      </c>
      <c r="H66" s="12" t="s">
        <v>7</v>
      </c>
      <c r="I66" s="12" t="s">
        <v>49</v>
      </c>
      <c r="J66" s="12"/>
    </row>
    <row r="67" customFormat="false" ht="33.75" hidden="false" customHeight="true" outlineLevel="0" collapsed="false">
      <c r="A67" s="12" t="s">
        <v>209</v>
      </c>
      <c r="B67" s="12" t="s">
        <v>21</v>
      </c>
      <c r="C67" s="12" t="s">
        <v>217</v>
      </c>
      <c r="D67" s="12" t="s">
        <v>80</v>
      </c>
      <c r="E67" s="12" t="s">
        <v>46</v>
      </c>
      <c r="F67" s="12" t="s">
        <v>215</v>
      </c>
      <c r="G67" s="12" t="s">
        <v>218</v>
      </c>
      <c r="H67" s="12" t="s">
        <v>7</v>
      </c>
      <c r="I67" s="12" t="s">
        <v>109</v>
      </c>
      <c r="J67" s="12"/>
    </row>
    <row r="68" customFormat="false" ht="33.75" hidden="false" customHeight="true" outlineLevel="0" collapsed="false">
      <c r="A68" s="12" t="s">
        <v>209</v>
      </c>
      <c r="B68" s="12" t="s">
        <v>14</v>
      </c>
      <c r="C68" s="12" t="s">
        <v>219</v>
      </c>
      <c r="D68" s="12" t="s">
        <v>152</v>
      </c>
      <c r="E68" s="12" t="s">
        <v>46</v>
      </c>
      <c r="F68" s="12" t="s">
        <v>215</v>
      </c>
      <c r="G68" s="12" t="s">
        <v>220</v>
      </c>
      <c r="H68" s="12" t="s">
        <v>7</v>
      </c>
      <c r="I68" s="12" t="s">
        <v>109</v>
      </c>
      <c r="J68" s="12"/>
    </row>
    <row r="69" customFormat="false" ht="33.75" hidden="false" customHeight="true" outlineLevel="0" collapsed="false">
      <c r="A69" s="12" t="s">
        <v>209</v>
      </c>
      <c r="B69" s="12" t="s">
        <v>13</v>
      </c>
      <c r="C69" s="12" t="s">
        <v>221</v>
      </c>
      <c r="D69" s="12" t="s">
        <v>46</v>
      </c>
      <c r="E69" s="12" t="s">
        <v>47</v>
      </c>
      <c r="F69" s="12" t="s">
        <v>215</v>
      </c>
      <c r="G69" s="12" t="s">
        <v>47</v>
      </c>
      <c r="H69" s="12" t="s">
        <v>7</v>
      </c>
      <c r="I69" s="12" t="s">
        <v>109</v>
      </c>
      <c r="J69" s="12" t="s">
        <v>222</v>
      </c>
    </row>
    <row r="70" customFormat="false" ht="33.75" hidden="false" customHeight="true" outlineLevel="0" collapsed="false">
      <c r="A70" s="12" t="s">
        <v>223</v>
      </c>
      <c r="B70" s="12" t="s">
        <v>27</v>
      </c>
      <c r="C70" s="12" t="s">
        <v>224</v>
      </c>
      <c r="D70" s="12" t="s">
        <v>80</v>
      </c>
      <c r="E70" s="12" t="s">
        <v>46</v>
      </c>
      <c r="F70" s="12" t="s">
        <v>225</v>
      </c>
      <c r="G70" s="12" t="s">
        <v>47</v>
      </c>
      <c r="H70" s="12" t="s">
        <v>7</v>
      </c>
      <c r="I70" s="12" t="s">
        <v>49</v>
      </c>
      <c r="J70" s="12"/>
    </row>
    <row r="71" customFormat="false" ht="33.75" hidden="false" customHeight="true" outlineLevel="0" collapsed="false">
      <c r="A71" s="12" t="s">
        <v>223</v>
      </c>
      <c r="B71" s="12" t="s">
        <v>27</v>
      </c>
      <c r="C71" s="12" t="s">
        <v>226</v>
      </c>
      <c r="D71" s="12" t="s">
        <v>146</v>
      </c>
      <c r="E71" s="12" t="s">
        <v>47</v>
      </c>
      <c r="F71" s="12" t="s">
        <v>227</v>
      </c>
      <c r="G71" s="12" t="s">
        <v>228</v>
      </c>
      <c r="H71" s="12" t="s">
        <v>7</v>
      </c>
      <c r="I71" s="12" t="s">
        <v>109</v>
      </c>
      <c r="J71" s="12"/>
    </row>
    <row r="72" customFormat="false" ht="33.75" hidden="false" customHeight="true" outlineLevel="0" collapsed="false">
      <c r="A72" s="12" t="s">
        <v>223</v>
      </c>
      <c r="B72" s="12" t="s">
        <v>27</v>
      </c>
      <c r="C72" s="12" t="s">
        <v>229</v>
      </c>
      <c r="D72" s="12" t="s">
        <v>46</v>
      </c>
      <c r="E72" s="12" t="s">
        <v>198</v>
      </c>
      <c r="F72" s="12" t="s">
        <v>230</v>
      </c>
      <c r="G72" s="12" t="s">
        <v>231</v>
      </c>
      <c r="H72" s="12" t="s">
        <v>7</v>
      </c>
      <c r="I72" s="12" t="s">
        <v>49</v>
      </c>
      <c r="J72" s="12"/>
    </row>
    <row r="73" customFormat="false" ht="33.75" hidden="false" customHeight="true" outlineLevel="0" collapsed="false">
      <c r="A73" s="12" t="s">
        <v>223</v>
      </c>
      <c r="B73" s="12" t="s">
        <v>27</v>
      </c>
      <c r="C73" s="12" t="s">
        <v>232</v>
      </c>
      <c r="D73" s="12" t="s">
        <v>80</v>
      </c>
      <c r="E73" s="12" t="s">
        <v>47</v>
      </c>
      <c r="F73" s="12" t="s">
        <v>233</v>
      </c>
      <c r="G73" s="12" t="s">
        <v>47</v>
      </c>
      <c r="H73" s="12" t="s">
        <v>7</v>
      </c>
      <c r="I73" s="12" t="s">
        <v>109</v>
      </c>
      <c r="J73" s="12"/>
    </row>
    <row r="74" customFormat="false" ht="33.75" hidden="false" customHeight="true" outlineLevel="0" collapsed="false">
      <c r="A74" s="12" t="s">
        <v>223</v>
      </c>
      <c r="B74" s="12" t="s">
        <v>28</v>
      </c>
      <c r="C74" s="12" t="s">
        <v>234</v>
      </c>
      <c r="D74" s="12" t="s">
        <v>46</v>
      </c>
      <c r="E74" s="12" t="s">
        <v>192</v>
      </c>
      <c r="F74" s="12" t="s">
        <v>235</v>
      </c>
      <c r="G74" s="12" t="s">
        <v>236</v>
      </c>
      <c r="H74" s="12" t="s">
        <v>7</v>
      </c>
      <c r="I74" s="12" t="s">
        <v>49</v>
      </c>
      <c r="J74" s="12" t="s">
        <v>237</v>
      </c>
    </row>
    <row r="75" customFormat="false" ht="33.75" hidden="false" customHeight="true" outlineLevel="0" collapsed="false">
      <c r="A75" s="12" t="s">
        <v>223</v>
      </c>
      <c r="B75" s="12" t="s">
        <v>28</v>
      </c>
      <c r="C75" s="12" t="s">
        <v>238</v>
      </c>
      <c r="D75" s="12" t="s">
        <v>46</v>
      </c>
      <c r="E75" s="12" t="s">
        <v>239</v>
      </c>
      <c r="F75" s="12" t="s">
        <v>240</v>
      </c>
      <c r="G75" s="12" t="s">
        <v>241</v>
      </c>
      <c r="H75" s="12" t="s">
        <v>7</v>
      </c>
      <c r="I75" s="12" t="s">
        <v>49</v>
      </c>
      <c r="J75" s="12" t="s">
        <v>242</v>
      </c>
    </row>
    <row r="76" customFormat="false" ht="33.75" hidden="false" customHeight="true" outlineLevel="0" collapsed="false">
      <c r="A76" s="12" t="s">
        <v>223</v>
      </c>
      <c r="B76" s="12" t="s">
        <v>28</v>
      </c>
      <c r="C76" s="12" t="s">
        <v>243</v>
      </c>
      <c r="D76" s="12" t="s">
        <v>46</v>
      </c>
      <c r="E76" s="12" t="s">
        <v>47</v>
      </c>
      <c r="F76" s="12" t="s">
        <v>244</v>
      </c>
      <c r="G76" s="12" t="s">
        <v>245</v>
      </c>
      <c r="H76" s="12" t="s">
        <v>7</v>
      </c>
      <c r="I76" s="12" t="s">
        <v>49</v>
      </c>
      <c r="J76" s="12"/>
    </row>
    <row r="77" customFormat="false" ht="33.75" hidden="false" customHeight="true" outlineLevel="0" collapsed="false">
      <c r="A77" s="12" t="s">
        <v>223</v>
      </c>
      <c r="B77" s="12" t="s">
        <v>28</v>
      </c>
      <c r="C77" s="12" t="s">
        <v>246</v>
      </c>
      <c r="D77" s="12" t="s">
        <v>247</v>
      </c>
      <c r="E77" s="12" t="s">
        <v>46</v>
      </c>
      <c r="F77" s="12" t="s">
        <v>248</v>
      </c>
      <c r="G77" s="12" t="s">
        <v>249</v>
      </c>
      <c r="H77" s="12" t="s">
        <v>7</v>
      </c>
      <c r="I77" s="12" t="s">
        <v>49</v>
      </c>
      <c r="J77" s="12"/>
    </row>
    <row r="78" customFormat="false" ht="33.75" hidden="false" customHeight="true" outlineLevel="0" collapsed="false">
      <c r="A78" s="12" t="s">
        <v>223</v>
      </c>
      <c r="B78" s="12" t="s">
        <v>28</v>
      </c>
      <c r="C78" s="12" t="s">
        <v>250</v>
      </c>
      <c r="D78" s="12" t="s">
        <v>247</v>
      </c>
      <c r="E78" s="12" t="s">
        <v>46</v>
      </c>
      <c r="F78" s="12" t="s">
        <v>251</v>
      </c>
      <c r="G78" s="12" t="s">
        <v>252</v>
      </c>
      <c r="H78" s="12" t="s">
        <v>7</v>
      </c>
      <c r="I78" s="12" t="s">
        <v>49</v>
      </c>
      <c r="J78" s="12"/>
    </row>
    <row r="79" customFormat="false" ht="33.75" hidden="false" customHeight="true" outlineLevel="0" collapsed="false">
      <c r="A79" s="12" t="s">
        <v>223</v>
      </c>
      <c r="B79" s="12" t="s">
        <v>28</v>
      </c>
      <c r="C79" s="12" t="s">
        <v>253</v>
      </c>
      <c r="D79" s="12" t="s">
        <v>254</v>
      </c>
      <c r="E79" s="12" t="s">
        <v>47</v>
      </c>
      <c r="F79" s="12" t="s">
        <v>255</v>
      </c>
      <c r="G79" s="12" t="s">
        <v>256</v>
      </c>
      <c r="H79" s="12" t="s">
        <v>7</v>
      </c>
      <c r="I79" s="12" t="s">
        <v>49</v>
      </c>
      <c r="J79" s="12" t="s">
        <v>257</v>
      </c>
    </row>
    <row r="80" customFormat="false" ht="33.75" hidden="false" customHeight="true" outlineLevel="0" collapsed="false">
      <c r="A80" s="12" t="s">
        <v>223</v>
      </c>
      <c r="B80" s="12" t="s">
        <v>28</v>
      </c>
      <c r="C80" s="12" t="s">
        <v>258</v>
      </c>
      <c r="D80" s="12" t="s">
        <v>46</v>
      </c>
      <c r="E80" s="12" t="s">
        <v>259</v>
      </c>
      <c r="F80" s="12" t="s">
        <v>260</v>
      </c>
      <c r="G80" s="12" t="s">
        <v>261</v>
      </c>
      <c r="H80" s="12" t="s">
        <v>7</v>
      </c>
      <c r="I80" s="12" t="s">
        <v>109</v>
      </c>
      <c r="J80" s="12"/>
    </row>
    <row r="81" customFormat="false" ht="33.75" hidden="false" customHeight="true" outlineLevel="0" collapsed="false">
      <c r="A81" s="12" t="s">
        <v>223</v>
      </c>
      <c r="B81" s="12" t="s">
        <v>28</v>
      </c>
      <c r="C81" s="12" t="s">
        <v>262</v>
      </c>
      <c r="D81" s="12" t="s">
        <v>198</v>
      </c>
      <c r="E81" s="12" t="s">
        <v>80</v>
      </c>
      <c r="F81" s="12" t="s">
        <v>263</v>
      </c>
      <c r="G81" s="12" t="s">
        <v>264</v>
      </c>
      <c r="H81" s="12" t="s">
        <v>7</v>
      </c>
      <c r="I81" s="12" t="s">
        <v>109</v>
      </c>
      <c r="J81" s="12"/>
    </row>
    <row r="82" customFormat="false" ht="33.75" hidden="false" customHeight="true" outlineLevel="0" collapsed="false">
      <c r="A82" s="12" t="s">
        <v>223</v>
      </c>
      <c r="B82" s="12" t="s">
        <v>28</v>
      </c>
      <c r="C82" s="12" t="s">
        <v>265</v>
      </c>
      <c r="D82" s="12" t="s">
        <v>46</v>
      </c>
      <c r="E82" s="12" t="s">
        <v>192</v>
      </c>
      <c r="F82" s="12" t="s">
        <v>266</v>
      </c>
      <c r="G82" s="12" t="s">
        <v>47</v>
      </c>
      <c r="H82" s="12" t="s">
        <v>7</v>
      </c>
      <c r="I82" s="12" t="s">
        <v>49</v>
      </c>
      <c r="J82" s="12"/>
    </row>
    <row r="83" customFormat="false" ht="33.75" hidden="false" customHeight="true" outlineLevel="0" collapsed="false">
      <c r="A83" s="12" t="s">
        <v>223</v>
      </c>
      <c r="B83" s="12" t="s">
        <v>28</v>
      </c>
      <c r="C83" s="12" t="s">
        <v>267</v>
      </c>
      <c r="D83" s="12" t="s">
        <v>80</v>
      </c>
      <c r="E83" s="12" t="s">
        <v>268</v>
      </c>
      <c r="F83" s="12" t="s">
        <v>269</v>
      </c>
      <c r="G83" s="12" t="s">
        <v>270</v>
      </c>
      <c r="H83" s="12" t="s">
        <v>7</v>
      </c>
      <c r="I83" s="12" t="s">
        <v>109</v>
      </c>
      <c r="J83" s="12"/>
    </row>
    <row r="84" customFormat="false" ht="33.75" hidden="false" customHeight="true" outlineLevel="0" collapsed="false">
      <c r="A84" s="12" t="s">
        <v>223</v>
      </c>
      <c r="B84" s="12" t="s">
        <v>28</v>
      </c>
      <c r="C84" s="12" t="s">
        <v>271</v>
      </c>
      <c r="D84" s="12" t="s">
        <v>46</v>
      </c>
      <c r="E84" s="12" t="s">
        <v>47</v>
      </c>
      <c r="F84" s="12" t="s">
        <v>272</v>
      </c>
      <c r="G84" s="12" t="s">
        <v>273</v>
      </c>
      <c r="H84" s="12" t="s">
        <v>7</v>
      </c>
      <c r="I84" s="12" t="s">
        <v>49</v>
      </c>
      <c r="J84" s="12"/>
    </row>
    <row r="85" customFormat="false" ht="33.75" hidden="false" customHeight="true" outlineLevel="0" collapsed="false">
      <c r="A85" s="12" t="s">
        <v>274</v>
      </c>
      <c r="B85" s="12" t="s">
        <v>30</v>
      </c>
      <c r="C85" s="12" t="s">
        <v>275</v>
      </c>
      <c r="D85" s="12" t="s">
        <v>46</v>
      </c>
      <c r="E85" s="12" t="s">
        <v>47</v>
      </c>
      <c r="F85" s="12" t="s">
        <v>276</v>
      </c>
      <c r="G85" s="12" t="s">
        <v>277</v>
      </c>
      <c r="H85" s="12" t="s">
        <v>7</v>
      </c>
      <c r="I85" s="12" t="s">
        <v>49</v>
      </c>
      <c r="J85" s="12"/>
    </row>
    <row r="86" customFormat="false" ht="33.75" hidden="false" customHeight="true" outlineLevel="0" collapsed="false">
      <c r="A86" s="12" t="s">
        <v>274</v>
      </c>
      <c r="B86" s="12" t="s">
        <v>30</v>
      </c>
      <c r="C86" s="12" t="s">
        <v>278</v>
      </c>
      <c r="D86" s="12" t="s">
        <v>46</v>
      </c>
      <c r="E86" s="12" t="s">
        <v>47</v>
      </c>
      <c r="F86" s="12" t="s">
        <v>276</v>
      </c>
      <c r="G86" s="12" t="s">
        <v>47</v>
      </c>
      <c r="H86" s="12" t="s">
        <v>7</v>
      </c>
      <c r="I86" s="12" t="s">
        <v>109</v>
      </c>
      <c r="J86" s="12"/>
    </row>
    <row r="87" customFormat="false" ht="33.75" hidden="false" customHeight="true" outlineLevel="0" collapsed="false">
      <c r="A87" s="12" t="s">
        <v>274</v>
      </c>
      <c r="B87" s="12" t="s">
        <v>30</v>
      </c>
      <c r="C87" s="12" t="s">
        <v>279</v>
      </c>
      <c r="D87" s="12" t="s">
        <v>46</v>
      </c>
      <c r="E87" s="12" t="s">
        <v>73</v>
      </c>
      <c r="F87" s="12" t="s">
        <v>276</v>
      </c>
      <c r="G87" s="12" t="s">
        <v>280</v>
      </c>
      <c r="H87" s="12" t="s">
        <v>7</v>
      </c>
      <c r="I87" s="12" t="s">
        <v>49</v>
      </c>
      <c r="J87" s="12"/>
    </row>
    <row r="88" customFormat="false" ht="33.75" hidden="false" customHeight="true" outlineLevel="0" collapsed="false">
      <c r="A88" s="12" t="s">
        <v>274</v>
      </c>
      <c r="B88" s="12" t="s">
        <v>31</v>
      </c>
      <c r="C88" s="12" t="s">
        <v>281</v>
      </c>
      <c r="D88" s="12" t="s">
        <v>46</v>
      </c>
      <c r="E88" s="12" t="s">
        <v>47</v>
      </c>
      <c r="F88" s="12" t="s">
        <v>282</v>
      </c>
      <c r="G88" s="12" t="s">
        <v>283</v>
      </c>
      <c r="H88" s="12" t="s">
        <v>7</v>
      </c>
      <c r="I88" s="12" t="s">
        <v>49</v>
      </c>
      <c r="J88" s="12"/>
    </row>
    <row r="89" customFormat="false" ht="33.75" hidden="false" customHeight="true" outlineLevel="0" collapsed="false">
      <c r="A89" s="12" t="s">
        <v>274</v>
      </c>
      <c r="B89" s="12" t="s">
        <v>32</v>
      </c>
      <c r="C89" s="12" t="s">
        <v>284</v>
      </c>
      <c r="D89" s="12" t="s">
        <v>46</v>
      </c>
      <c r="E89" s="12" t="s">
        <v>192</v>
      </c>
      <c r="F89" s="12" t="s">
        <v>285</v>
      </c>
      <c r="G89" s="12" t="s">
        <v>47</v>
      </c>
      <c r="H89" s="12" t="s">
        <v>7</v>
      </c>
      <c r="I89" s="12" t="s">
        <v>49</v>
      </c>
      <c r="J89" s="12"/>
    </row>
  </sheetData>
  <mergeCells count="2">
    <mergeCell ref="A1:J1"/>
    <mergeCell ref="A2:J2"/>
  </mergeCells>
  <conditionalFormatting sqref="H5:H8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conditionalFormatting sqref="I5:I89">
    <cfRule type="cellIs" priority="6" operator="equal" aboveAverage="0" equalAverage="0" bottom="0" percent="0" rank="0" text="" dxfId="4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1" t="s">
        <v>286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287</v>
      </c>
      <c r="B2" s="2"/>
      <c r="C2" s="2"/>
      <c r="D2" s="2"/>
      <c r="E2" s="2"/>
    </row>
    <row r="4" customFormat="false" ht="33.75" hidden="false" customHeight="true" outlineLevel="0" collapsed="false">
      <c r="A4" s="11" t="s">
        <v>288</v>
      </c>
      <c r="B4" s="11" t="s">
        <v>289</v>
      </c>
      <c r="C4" s="11" t="s">
        <v>290</v>
      </c>
      <c r="D4" s="11" t="s">
        <v>41</v>
      </c>
      <c r="E4" s="11" t="s">
        <v>43</v>
      </c>
    </row>
    <row r="5" customFormat="false" ht="33.75" hidden="false" customHeight="true" outlineLevel="0" collapsed="false">
      <c r="A5" s="12" t="s">
        <v>291</v>
      </c>
      <c r="B5" s="12" t="s">
        <v>292</v>
      </c>
      <c r="C5" s="12" t="s">
        <v>95</v>
      </c>
      <c r="D5" s="12" t="s">
        <v>7</v>
      </c>
      <c r="E5" s="12" t="s">
        <v>293</v>
      </c>
    </row>
    <row r="6" customFormat="false" ht="33.75" hidden="false" customHeight="true" outlineLevel="0" collapsed="false">
      <c r="A6" s="12" t="s">
        <v>294</v>
      </c>
      <c r="B6" s="12" t="s">
        <v>295</v>
      </c>
      <c r="C6" s="12" t="s">
        <v>84</v>
      </c>
      <c r="D6" s="12" t="s">
        <v>7</v>
      </c>
      <c r="E6" s="12"/>
    </row>
    <row r="7" customFormat="false" ht="33.75" hidden="false" customHeight="true" outlineLevel="0" collapsed="false">
      <c r="A7" s="12" t="s">
        <v>296</v>
      </c>
      <c r="B7" s="12" t="s">
        <v>297</v>
      </c>
      <c r="C7" s="12" t="s">
        <v>298</v>
      </c>
      <c r="D7" s="12" t="s">
        <v>7</v>
      </c>
      <c r="E7" s="12" t="s">
        <v>299</v>
      </c>
    </row>
    <row r="8" customFormat="false" ht="33.75" hidden="false" customHeight="true" outlineLevel="0" collapsed="false">
      <c r="A8" s="12" t="s">
        <v>300</v>
      </c>
      <c r="B8" s="12" t="s">
        <v>301</v>
      </c>
      <c r="C8" s="12" t="s">
        <v>302</v>
      </c>
      <c r="D8" s="12" t="s">
        <v>7</v>
      </c>
      <c r="E8" s="12"/>
    </row>
    <row r="9" customFormat="false" ht="33.75" hidden="false" customHeight="true" outlineLevel="0" collapsed="false">
      <c r="A9" s="12" t="s">
        <v>303</v>
      </c>
      <c r="B9" s="12" t="s">
        <v>304</v>
      </c>
      <c r="C9" s="12" t="s">
        <v>158</v>
      </c>
      <c r="D9" s="12" t="s">
        <v>7</v>
      </c>
      <c r="E9" s="12"/>
    </row>
    <row r="10" customFormat="false" ht="33.75" hidden="false" customHeight="true" outlineLevel="0" collapsed="false">
      <c r="A10" s="12" t="s">
        <v>305</v>
      </c>
      <c r="B10" s="12" t="s">
        <v>306</v>
      </c>
      <c r="C10" s="12" t="s">
        <v>114</v>
      </c>
      <c r="D10" s="12" t="s">
        <v>7</v>
      </c>
      <c r="E10" s="12"/>
    </row>
    <row r="11" customFormat="false" ht="33.75" hidden="false" customHeight="true" outlineLevel="0" collapsed="false">
      <c r="A11" s="12" t="s">
        <v>307</v>
      </c>
      <c r="B11" s="12" t="s">
        <v>308</v>
      </c>
      <c r="C11" s="12" t="s">
        <v>174</v>
      </c>
      <c r="D11" s="12" t="s">
        <v>7</v>
      </c>
      <c r="E11" s="12"/>
    </row>
    <row r="12" customFormat="false" ht="33.75" hidden="false" customHeight="true" outlineLevel="0" collapsed="false">
      <c r="A12" s="12" t="s">
        <v>309</v>
      </c>
      <c r="B12" s="12" t="s">
        <v>310</v>
      </c>
      <c r="C12" s="12" t="s">
        <v>126</v>
      </c>
      <c r="D12" s="12" t="s">
        <v>7</v>
      </c>
      <c r="E12" s="12" t="s">
        <v>311</v>
      </c>
    </row>
    <row r="13" customFormat="false" ht="33.75" hidden="false" customHeight="true" outlineLevel="0" collapsed="false">
      <c r="A13" s="12" t="s">
        <v>312</v>
      </c>
      <c r="B13" s="12" t="s">
        <v>313</v>
      </c>
      <c r="C13" s="12" t="s">
        <v>174</v>
      </c>
      <c r="D13" s="12" t="s">
        <v>7</v>
      </c>
      <c r="E13" s="12"/>
    </row>
    <row r="14" customFormat="false" ht="33.75" hidden="false" customHeight="true" outlineLevel="0" collapsed="false">
      <c r="A14" s="12" t="s">
        <v>314</v>
      </c>
      <c r="B14" s="12" t="s">
        <v>315</v>
      </c>
      <c r="C14" s="12" t="s">
        <v>114</v>
      </c>
      <c r="D14" s="12" t="s">
        <v>7</v>
      </c>
      <c r="E14" s="12"/>
    </row>
    <row r="15" customFormat="false" ht="33.75" hidden="false" customHeight="true" outlineLevel="0" collapsed="false">
      <c r="A15" s="12" t="s">
        <v>316</v>
      </c>
      <c r="B15" s="12" t="s">
        <v>317</v>
      </c>
      <c r="C15" s="12" t="s">
        <v>120</v>
      </c>
      <c r="D15" s="12" t="s">
        <v>7</v>
      </c>
      <c r="E15" s="12"/>
    </row>
    <row r="16" customFormat="false" ht="33.75" hidden="false" customHeight="true" outlineLevel="0" collapsed="false">
      <c r="A16" s="12" t="s">
        <v>318</v>
      </c>
      <c r="B16" s="12" t="s">
        <v>319</v>
      </c>
      <c r="C16" s="12" t="s">
        <v>95</v>
      </c>
      <c r="D16" s="12" t="s">
        <v>7</v>
      </c>
      <c r="E16" s="12" t="s">
        <v>320</v>
      </c>
    </row>
    <row r="17" customFormat="false" ht="33.75" hidden="false" customHeight="true" outlineLevel="0" collapsed="false">
      <c r="A17" s="12" t="s">
        <v>321</v>
      </c>
      <c r="B17" s="12" t="s">
        <v>322</v>
      </c>
      <c r="C17" s="12" t="s">
        <v>323</v>
      </c>
      <c r="D17" s="12" t="s">
        <v>7</v>
      </c>
      <c r="E17" s="12"/>
    </row>
  </sheetData>
  <mergeCells count="2">
    <mergeCell ref="A1:E1"/>
    <mergeCell ref="A2:E2"/>
  </mergeCells>
  <conditionalFormatting sqref="D5:D1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" t="s">
        <v>324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325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11" t="s">
        <v>36</v>
      </c>
      <c r="B4" s="11" t="s">
        <v>326</v>
      </c>
      <c r="C4" s="11" t="s">
        <v>327</v>
      </c>
      <c r="D4" s="11" t="s">
        <v>39</v>
      </c>
      <c r="E4" s="11" t="s">
        <v>41</v>
      </c>
      <c r="F4" s="11" t="s">
        <v>43</v>
      </c>
    </row>
    <row r="5" customFormat="false" ht="33.75" hidden="false" customHeight="true" outlineLevel="0" collapsed="false">
      <c r="A5" s="12" t="s">
        <v>328</v>
      </c>
      <c r="B5" s="12" t="s">
        <v>80</v>
      </c>
      <c r="C5" s="12" t="s">
        <v>329</v>
      </c>
      <c r="D5" s="12" t="s">
        <v>60</v>
      </c>
      <c r="E5" s="12" t="s">
        <v>7</v>
      </c>
      <c r="F5" s="12" t="s">
        <v>330</v>
      </c>
    </row>
    <row r="6" customFormat="false" ht="33.75" hidden="false" customHeight="true" outlineLevel="0" collapsed="false">
      <c r="A6" s="12" t="s">
        <v>331</v>
      </c>
      <c r="B6" s="12" t="s">
        <v>90</v>
      </c>
      <c r="C6" s="12" t="s">
        <v>332</v>
      </c>
      <c r="D6" s="12" t="s">
        <v>333</v>
      </c>
      <c r="E6" s="12" t="s">
        <v>7</v>
      </c>
      <c r="F6" s="12" t="s">
        <v>334</v>
      </c>
    </row>
    <row r="7" customFormat="false" ht="33.75" hidden="false" customHeight="true" outlineLevel="0" collapsed="false">
      <c r="A7" s="12" t="s">
        <v>335</v>
      </c>
      <c r="B7" s="12" t="s">
        <v>146</v>
      </c>
      <c r="C7" s="12" t="s">
        <v>336</v>
      </c>
      <c r="D7" s="12" t="s">
        <v>139</v>
      </c>
      <c r="E7" s="12" t="s">
        <v>7</v>
      </c>
      <c r="F7" s="12"/>
    </row>
    <row r="8" customFormat="false" ht="33.75" hidden="false" customHeight="true" outlineLevel="0" collapsed="false">
      <c r="A8" s="12" t="s">
        <v>337</v>
      </c>
      <c r="B8" s="12" t="s">
        <v>338</v>
      </c>
      <c r="C8" s="12" t="s">
        <v>339</v>
      </c>
      <c r="D8" s="12" t="s">
        <v>340</v>
      </c>
      <c r="E8" s="12" t="s">
        <v>7</v>
      </c>
      <c r="F8" s="12"/>
    </row>
    <row r="9" customFormat="false" ht="33.75" hidden="false" customHeight="true" outlineLevel="0" collapsed="false">
      <c r="A9" s="12" t="s">
        <v>341</v>
      </c>
      <c r="B9" s="12" t="s">
        <v>80</v>
      </c>
      <c r="C9" s="12" t="s">
        <v>342</v>
      </c>
      <c r="D9" s="12" t="s">
        <v>130</v>
      </c>
      <c r="E9" s="12" t="s">
        <v>7</v>
      </c>
      <c r="F9" s="12"/>
    </row>
    <row r="10" customFormat="false" ht="33.75" hidden="false" customHeight="true" outlineLevel="0" collapsed="false">
      <c r="A10" s="12" t="s">
        <v>343</v>
      </c>
      <c r="B10" s="12" t="s">
        <v>344</v>
      </c>
      <c r="C10" s="12" t="s">
        <v>345</v>
      </c>
      <c r="D10" s="12" t="s">
        <v>158</v>
      </c>
      <c r="E10" s="12" t="s">
        <v>7</v>
      </c>
      <c r="F10" s="12" t="s">
        <v>346</v>
      </c>
    </row>
    <row r="11" customFormat="false" ht="33.75" hidden="false" customHeight="true" outlineLevel="0" collapsed="false">
      <c r="A11" s="12" t="s">
        <v>347</v>
      </c>
      <c r="B11" s="12" t="s">
        <v>146</v>
      </c>
      <c r="C11" s="12" t="s">
        <v>348</v>
      </c>
      <c r="D11" s="12" t="s">
        <v>205</v>
      </c>
      <c r="E11" s="12" t="s">
        <v>7</v>
      </c>
      <c r="F11" s="12"/>
    </row>
    <row r="12" customFormat="false" ht="33.75" hidden="false" customHeight="true" outlineLevel="0" collapsed="false">
      <c r="A12" s="12" t="s">
        <v>349</v>
      </c>
      <c r="B12" s="12" t="s">
        <v>80</v>
      </c>
      <c r="C12" s="12" t="s">
        <v>350</v>
      </c>
      <c r="D12" s="12" t="s">
        <v>211</v>
      </c>
      <c r="E12" s="12" t="s">
        <v>7</v>
      </c>
      <c r="F12" s="12"/>
    </row>
    <row r="13" customFormat="false" ht="33.75" hidden="false" customHeight="true" outlineLevel="0" collapsed="false">
      <c r="A13" s="12" t="s">
        <v>351</v>
      </c>
      <c r="B13" s="12" t="s">
        <v>73</v>
      </c>
      <c r="C13" s="12" t="s">
        <v>352</v>
      </c>
      <c r="D13" s="12" t="s">
        <v>323</v>
      </c>
      <c r="E13" s="12" t="s">
        <v>7</v>
      </c>
      <c r="F13" s="12" t="s">
        <v>353</v>
      </c>
    </row>
    <row r="14" customFormat="false" ht="33.75" hidden="false" customHeight="true" outlineLevel="0" collapsed="false">
      <c r="A14" s="12" t="s">
        <v>354</v>
      </c>
      <c r="B14" s="12" t="s">
        <v>80</v>
      </c>
      <c r="C14" s="12" t="s">
        <v>355</v>
      </c>
      <c r="D14" s="12" t="s">
        <v>158</v>
      </c>
      <c r="E14" s="12" t="s">
        <v>7</v>
      </c>
      <c r="F14" s="12"/>
    </row>
    <row r="15" customFormat="false" ht="33.75" hidden="false" customHeight="true" outlineLevel="0" collapsed="false">
      <c r="A15" s="12" t="s">
        <v>356</v>
      </c>
      <c r="B15" s="12" t="s">
        <v>357</v>
      </c>
      <c r="C15" s="12" t="s">
        <v>358</v>
      </c>
      <c r="D15" s="12" t="s">
        <v>181</v>
      </c>
      <c r="E15" s="12" t="s">
        <v>7</v>
      </c>
      <c r="F15" s="12"/>
    </row>
  </sheetData>
  <mergeCells count="2">
    <mergeCell ref="A1:F1"/>
    <mergeCell ref="A2:F2"/>
  </mergeCells>
  <conditionalFormatting sqref="E5:E15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359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360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11" t="s">
        <v>361</v>
      </c>
      <c r="B4" s="11" t="s">
        <v>362</v>
      </c>
      <c r="C4" s="11" t="s">
        <v>363</v>
      </c>
      <c r="D4" s="11" t="s">
        <v>364</v>
      </c>
      <c r="E4" s="11" t="s">
        <v>365</v>
      </c>
      <c r="F4" s="11" t="s">
        <v>43</v>
      </c>
    </row>
    <row r="5" customFormat="false" ht="39.75" hidden="false" customHeight="true" outlineLevel="0" collapsed="false">
      <c r="A5" s="12" t="s">
        <v>366</v>
      </c>
      <c r="B5" s="12" t="s">
        <v>367</v>
      </c>
      <c r="C5" s="12" t="s">
        <v>95</v>
      </c>
      <c r="D5" s="12" t="s">
        <v>368</v>
      </c>
      <c r="E5" s="12" t="s">
        <v>368</v>
      </c>
      <c r="F5" s="12" t="s">
        <v>369</v>
      </c>
    </row>
    <row r="6" customFormat="false" ht="39.75" hidden="false" customHeight="true" outlineLevel="0" collapsed="false">
      <c r="A6" s="12" t="s">
        <v>370</v>
      </c>
      <c r="B6" s="12" t="s">
        <v>371</v>
      </c>
      <c r="C6" s="12" t="s">
        <v>84</v>
      </c>
      <c r="D6" s="12" t="s">
        <v>372</v>
      </c>
      <c r="E6" s="12" t="s">
        <v>368</v>
      </c>
      <c r="F6" s="12" t="s">
        <v>373</v>
      </c>
    </row>
    <row r="7" customFormat="false" ht="39.75" hidden="false" customHeight="true" outlineLevel="0" collapsed="false">
      <c r="A7" s="12" t="s">
        <v>374</v>
      </c>
      <c r="B7" s="12" t="s">
        <v>375</v>
      </c>
      <c r="C7" s="12" t="s">
        <v>120</v>
      </c>
      <c r="D7" s="12" t="s">
        <v>368</v>
      </c>
      <c r="E7" s="12" t="s">
        <v>368</v>
      </c>
      <c r="F7" s="12" t="s">
        <v>376</v>
      </c>
    </row>
    <row r="8" customFormat="false" ht="39.75" hidden="false" customHeight="true" outlineLevel="0" collapsed="false">
      <c r="A8" s="12" t="s">
        <v>377</v>
      </c>
      <c r="B8" s="12" t="s">
        <v>378</v>
      </c>
      <c r="C8" s="12" t="s">
        <v>379</v>
      </c>
      <c r="D8" s="12" t="s">
        <v>368</v>
      </c>
      <c r="E8" s="12" t="s">
        <v>368</v>
      </c>
      <c r="F8" s="12" t="s">
        <v>380</v>
      </c>
    </row>
    <row r="9" customFormat="false" ht="39.75" hidden="false" customHeight="true" outlineLevel="0" collapsed="false">
      <c r="A9" s="12" t="s">
        <v>381</v>
      </c>
      <c r="B9" s="12" t="s">
        <v>382</v>
      </c>
      <c r="C9" s="12" t="s">
        <v>120</v>
      </c>
      <c r="D9" s="12" t="s">
        <v>383</v>
      </c>
      <c r="E9" s="12" t="s">
        <v>368</v>
      </c>
      <c r="F9" s="12" t="s">
        <v>384</v>
      </c>
    </row>
    <row r="10" customFormat="false" ht="39.75" hidden="false" customHeight="true" outlineLevel="0" collapsed="false">
      <c r="A10" s="12" t="s">
        <v>385</v>
      </c>
      <c r="B10" s="12" t="s">
        <v>386</v>
      </c>
      <c r="C10" s="12" t="s">
        <v>120</v>
      </c>
      <c r="D10" s="12" t="s">
        <v>383</v>
      </c>
      <c r="E10" s="12" t="s">
        <v>368</v>
      </c>
      <c r="F10" s="12" t="s">
        <v>384</v>
      </c>
    </row>
    <row r="11" customFormat="false" ht="39.75" hidden="false" customHeight="true" outlineLevel="0" collapsed="false">
      <c r="A11" s="12" t="s">
        <v>247</v>
      </c>
      <c r="B11" s="12" t="s">
        <v>387</v>
      </c>
      <c r="C11" s="12" t="s">
        <v>105</v>
      </c>
      <c r="D11" s="12" t="s">
        <v>388</v>
      </c>
      <c r="E11" s="12" t="s">
        <v>368</v>
      </c>
      <c r="F11" s="12"/>
    </row>
    <row r="12" customFormat="false" ht="39.75" hidden="false" customHeight="true" outlineLevel="0" collapsed="false">
      <c r="A12" s="12" t="s">
        <v>389</v>
      </c>
      <c r="B12" s="12" t="s">
        <v>390</v>
      </c>
      <c r="C12" s="12" t="s">
        <v>391</v>
      </c>
      <c r="D12" s="12" t="s">
        <v>392</v>
      </c>
      <c r="E12" s="12" t="s">
        <v>393</v>
      </c>
      <c r="F12" s="12" t="s">
        <v>394</v>
      </c>
    </row>
    <row r="13" customFormat="false" ht="39.75" hidden="false" customHeight="true" outlineLevel="0" collapsed="false">
      <c r="A13" s="12" t="s">
        <v>395</v>
      </c>
      <c r="B13" s="12" t="s">
        <v>396</v>
      </c>
      <c r="C13" s="12" t="s">
        <v>60</v>
      </c>
      <c r="D13" s="12" t="s">
        <v>397</v>
      </c>
      <c r="E13" s="12" t="s">
        <v>398</v>
      </c>
      <c r="F13" s="12" t="s">
        <v>399</v>
      </c>
    </row>
    <row r="14" customFormat="false" ht="39.75" hidden="false" customHeight="true" outlineLevel="0" collapsed="false">
      <c r="A14" s="12" t="s">
        <v>400</v>
      </c>
      <c r="B14" s="12" t="s">
        <v>401</v>
      </c>
      <c r="C14" s="12" t="s">
        <v>402</v>
      </c>
      <c r="D14" s="12" t="s">
        <v>403</v>
      </c>
      <c r="E14" s="12" t="s">
        <v>404</v>
      </c>
      <c r="F14" s="12" t="s">
        <v>405</v>
      </c>
    </row>
    <row r="15" customFormat="false" ht="39.75" hidden="false" customHeight="true" outlineLevel="0" collapsed="false">
      <c r="A15" s="12" t="s">
        <v>406</v>
      </c>
      <c r="B15" s="12" t="s">
        <v>407</v>
      </c>
      <c r="C15" s="12" t="s">
        <v>158</v>
      </c>
      <c r="D15" s="12" t="s">
        <v>368</v>
      </c>
      <c r="E15" s="12" t="s">
        <v>368</v>
      </c>
      <c r="F15" s="12"/>
    </row>
    <row r="16" customFormat="false" ht="39.75" hidden="false" customHeight="true" outlineLevel="0" collapsed="false">
      <c r="A16" s="12" t="s">
        <v>408</v>
      </c>
      <c r="B16" s="12" t="s">
        <v>409</v>
      </c>
      <c r="C16" s="12" t="s">
        <v>158</v>
      </c>
      <c r="D16" s="12" t="s">
        <v>368</v>
      </c>
      <c r="E16" s="12" t="s">
        <v>368</v>
      </c>
      <c r="F16" s="12"/>
    </row>
    <row r="17" customFormat="false" ht="39.75" hidden="false" customHeight="true" outlineLevel="0" collapsed="false">
      <c r="A17" s="12" t="s">
        <v>410</v>
      </c>
      <c r="B17" s="12" t="s">
        <v>411</v>
      </c>
      <c r="C17" s="12" t="s">
        <v>412</v>
      </c>
      <c r="D17" s="12" t="s">
        <v>413</v>
      </c>
      <c r="E17" s="12" t="s">
        <v>414</v>
      </c>
      <c r="F17" s="1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2026-04-21T03:20:25Z</dcterms:created>
  <dc:creator>openpyxl</dc:creator>
  <dc:description/>
  <dc:language>en-US</dc:language>
  <cp:lastModifiedBy/>
  <dcterms:modified xsi:type="dcterms:W3CDTF">2026-04-21T03:20:25Z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